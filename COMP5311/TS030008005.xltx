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135" windowWidth="23955" windowHeight="14880"/>
  </bookViews>
  <sheets>
    <sheet name="VariableLengthSubnetMaskCalc." sheetId="8" r:id="rId1"/>
    <sheet name="Calculations" sheetId="9" r:id="rId2"/>
    <sheet name="Simple Subnet Calculator" sheetId="4" r:id="rId3"/>
  </sheets>
  <definedNames>
    <definedName name="Max">Calculations!$C$9</definedName>
  </definedNames>
  <calcPr calcId="125725"/>
</workbook>
</file>

<file path=xl/calcChain.xml><?xml version="1.0" encoding="utf-8"?>
<calcChain xmlns="http://schemas.openxmlformats.org/spreadsheetml/2006/main">
  <c r="B2" i="9"/>
  <c r="AH7"/>
  <c r="J8"/>
  <c r="R8"/>
  <c r="Z8"/>
  <c r="AH8"/>
  <c r="AG9"/>
  <c r="AG7" s="1"/>
  <c r="G10"/>
  <c r="C11"/>
  <c r="AH17"/>
  <c r="J18"/>
  <c r="R18"/>
  <c r="Z18"/>
  <c r="AH18"/>
  <c r="AG19"/>
  <c r="AG17" s="1"/>
  <c r="C20"/>
  <c r="G20" s="1"/>
  <c r="C21"/>
  <c r="AH27"/>
  <c r="J28"/>
  <c r="R28"/>
  <c r="Z28"/>
  <c r="AH28"/>
  <c r="AG29"/>
  <c r="AG27" s="1"/>
  <c r="C31"/>
  <c r="AH37"/>
  <c r="J38"/>
  <c r="R38"/>
  <c r="Z38"/>
  <c r="AH38"/>
  <c r="AG39"/>
  <c r="AG37" s="1"/>
  <c r="C41"/>
  <c r="AH47"/>
  <c r="J48"/>
  <c r="R48"/>
  <c r="Z48"/>
  <c r="AH48"/>
  <c r="AG49"/>
  <c r="AG47" s="1"/>
  <c r="C51"/>
  <c r="AH57"/>
  <c r="J58"/>
  <c r="R58"/>
  <c r="Z58"/>
  <c r="AH58"/>
  <c r="AG59"/>
  <c r="AF59" s="1"/>
  <c r="C61"/>
  <c r="AH67"/>
  <c r="J68"/>
  <c r="R68"/>
  <c r="Z68"/>
  <c r="AH68"/>
  <c r="AG69"/>
  <c r="AG67" s="1"/>
  <c r="C71"/>
  <c r="AH77"/>
  <c r="J78"/>
  <c r="R78"/>
  <c r="Z78"/>
  <c r="AH78"/>
  <c r="AG79"/>
  <c r="AF79" s="1"/>
  <c r="C81"/>
  <c r="AH87"/>
  <c r="J88"/>
  <c r="R88"/>
  <c r="Z88"/>
  <c r="AH88"/>
  <c r="AF89"/>
  <c r="AF87" s="1"/>
  <c r="AG89"/>
  <c r="AG87" s="1"/>
  <c r="C91"/>
  <c r="AH97"/>
  <c r="J98"/>
  <c r="R98"/>
  <c r="Z98"/>
  <c r="AH98"/>
  <c r="AG99"/>
  <c r="AF99" s="1"/>
  <c r="C101"/>
  <c r="AH107"/>
  <c r="J108"/>
  <c r="R108"/>
  <c r="Z108"/>
  <c r="AH108"/>
  <c r="AG109"/>
  <c r="AG107" s="1"/>
  <c r="C111"/>
  <c r="AH117"/>
  <c r="J118"/>
  <c r="R118"/>
  <c r="Z118"/>
  <c r="AH118"/>
  <c r="AG119"/>
  <c r="AG117" s="1"/>
  <c r="C121"/>
  <c r="AH127"/>
  <c r="J128"/>
  <c r="R128"/>
  <c r="Z128"/>
  <c r="AH128"/>
  <c r="AG129"/>
  <c r="AG127" s="1"/>
  <c r="C131"/>
  <c r="G129" i="8" s="1"/>
  <c r="AH137" i="9"/>
  <c r="J138"/>
  <c r="R138"/>
  <c r="Z138"/>
  <c r="AH138"/>
  <c r="AG139"/>
  <c r="AG137" s="1"/>
  <c r="C141"/>
  <c r="D133" i="8" s="1"/>
  <c r="AH147" i="9"/>
  <c r="J148"/>
  <c r="R148"/>
  <c r="Z148"/>
  <c r="AH148"/>
  <c r="AG149"/>
  <c r="AG147" s="1"/>
  <c r="C151"/>
  <c r="D146" i="8" s="1"/>
  <c r="AH157" i="9"/>
  <c r="J158"/>
  <c r="R158"/>
  <c r="Z158"/>
  <c r="AH158"/>
  <c r="AG159"/>
  <c r="Q158" s="1"/>
  <c r="C161"/>
  <c r="D153" i="8" s="1"/>
  <c r="AH167" i="9"/>
  <c r="J168"/>
  <c r="R168"/>
  <c r="Z168"/>
  <c r="AH168"/>
  <c r="AG169"/>
  <c r="AF169" s="1"/>
  <c r="C171"/>
  <c r="G169" i="8" s="1"/>
  <c r="AH177" i="9"/>
  <c r="J178"/>
  <c r="R178"/>
  <c r="Z178"/>
  <c r="AH178"/>
  <c r="AG179"/>
  <c r="AG177" s="1"/>
  <c r="C181"/>
  <c r="D173" i="8" s="1"/>
  <c r="AH187" i="9"/>
  <c r="J188"/>
  <c r="R188"/>
  <c r="Z188"/>
  <c r="AH188"/>
  <c r="AG189"/>
  <c r="AG187" s="1"/>
  <c r="C191"/>
  <c r="D190" i="8" s="1"/>
  <c r="AH197" i="9"/>
  <c r="J198"/>
  <c r="R198"/>
  <c r="Z198"/>
  <c r="AH198"/>
  <c r="AG199"/>
  <c r="AG197" s="1"/>
  <c r="C201"/>
  <c r="D193" i="8" s="1"/>
  <c r="D149"/>
  <c r="B2"/>
  <c r="B7" i="4"/>
  <c r="C10"/>
  <c r="AH3"/>
  <c r="AG11"/>
  <c r="AF11" s="1"/>
  <c r="AE11" s="1"/>
  <c r="AD11" s="1"/>
  <c r="AC11" s="1"/>
  <c r="AB11" s="1"/>
  <c r="AA11" s="1"/>
  <c r="Z11" s="1"/>
  <c r="Y11" s="1"/>
  <c r="X11" s="1"/>
  <c r="W11" s="1"/>
  <c r="V11" s="1"/>
  <c r="U11" s="1"/>
  <c r="T11" s="1"/>
  <c r="S11" s="1"/>
  <c r="R11" s="1"/>
  <c r="Q11" s="1"/>
  <c r="P11" s="1"/>
  <c r="O11" s="1"/>
  <c r="N11" s="1"/>
  <c r="M11" s="1"/>
  <c r="L11" s="1"/>
  <c r="K11" s="1"/>
  <c r="J11" s="1"/>
  <c r="I11" s="1"/>
  <c r="H11" s="1"/>
  <c r="G11" s="1"/>
  <c r="F11" s="1"/>
  <c r="E11" s="1"/>
  <c r="D11" s="1"/>
  <c r="C11" s="1"/>
  <c r="C3" s="1"/>
  <c r="F131" i="8" l="1"/>
  <c r="F135" s="1"/>
  <c r="D129"/>
  <c r="G141"/>
  <c r="G145" s="1"/>
  <c r="G181"/>
  <c r="G185" s="1"/>
  <c r="D130"/>
  <c r="D169"/>
  <c r="D150"/>
  <c r="AF29" i="9"/>
  <c r="AF27" s="1"/>
  <c r="AF199"/>
  <c r="AF197" s="1"/>
  <c r="AF189"/>
  <c r="AF187" s="1"/>
  <c r="AF149"/>
  <c r="AF147" s="1"/>
  <c r="C30"/>
  <c r="G30" s="1"/>
  <c r="D170" i="8"/>
  <c r="F171"/>
  <c r="F175" s="1"/>
  <c r="AF167" i="9"/>
  <c r="AE169"/>
  <c r="AF179"/>
  <c r="AF177" s="1"/>
  <c r="Y158"/>
  <c r="AF139"/>
  <c r="AF137" s="1"/>
  <c r="AF129"/>
  <c r="AF49"/>
  <c r="C40"/>
  <c r="AE29"/>
  <c r="AE27" s="1"/>
  <c r="AE189"/>
  <c r="AE149"/>
  <c r="AF119"/>
  <c r="AF117" s="1"/>
  <c r="AF109"/>
  <c r="AF69"/>
  <c r="AF67" s="1"/>
  <c r="E131" i="8"/>
  <c r="E135" s="1"/>
  <c r="G128"/>
  <c r="E171"/>
  <c r="E175" s="1"/>
  <c r="G168"/>
  <c r="D126"/>
  <c r="D166"/>
  <c r="AG192" i="9"/>
  <c r="AG193" s="1"/>
  <c r="AF192"/>
  <c r="AF193" s="1"/>
  <c r="AH192"/>
  <c r="AH193" s="1"/>
  <c r="AG152"/>
  <c r="AG153" s="1"/>
  <c r="AH152"/>
  <c r="AH153" s="1"/>
  <c r="G201" i="8"/>
  <c r="AF188" i="9"/>
  <c r="X188"/>
  <c r="P188"/>
  <c r="H188"/>
  <c r="AH172"/>
  <c r="AH173" s="1"/>
  <c r="AF168"/>
  <c r="X168"/>
  <c r="P168"/>
  <c r="G168"/>
  <c r="AG167"/>
  <c r="I168"/>
  <c r="AE199"/>
  <c r="AG188"/>
  <c r="Y188"/>
  <c r="Q188"/>
  <c r="I188"/>
  <c r="AE179"/>
  <c r="AG168"/>
  <c r="Y168"/>
  <c r="Q168"/>
  <c r="H168"/>
  <c r="AF159"/>
  <c r="AF152" s="1"/>
  <c r="AF153" s="1"/>
  <c r="AG158"/>
  <c r="AG157"/>
  <c r="AF198"/>
  <c r="X198"/>
  <c r="P198"/>
  <c r="H198"/>
  <c r="AF178"/>
  <c r="X178"/>
  <c r="P178"/>
  <c r="H178"/>
  <c r="AF172"/>
  <c r="AF173" s="1"/>
  <c r="AE167"/>
  <c r="I158"/>
  <c r="AG132"/>
  <c r="AG133" s="1"/>
  <c r="AF132"/>
  <c r="AF133" s="1"/>
  <c r="AH132"/>
  <c r="AH133" s="1"/>
  <c r="AG198"/>
  <c r="Y198"/>
  <c r="Q198"/>
  <c r="I198"/>
  <c r="AE188"/>
  <c r="W188"/>
  <c r="O188"/>
  <c r="G188"/>
  <c r="AG178"/>
  <c r="Y178"/>
  <c r="Q178"/>
  <c r="I178"/>
  <c r="AG172"/>
  <c r="AG173" s="1"/>
  <c r="AE168"/>
  <c r="W168"/>
  <c r="AF148"/>
  <c r="X148"/>
  <c r="P148"/>
  <c r="H148"/>
  <c r="AF128"/>
  <c r="X128"/>
  <c r="P128"/>
  <c r="H128"/>
  <c r="AF108"/>
  <c r="X108"/>
  <c r="P108"/>
  <c r="H108"/>
  <c r="AG148"/>
  <c r="Y148"/>
  <c r="Q148"/>
  <c r="I148"/>
  <c r="AE139"/>
  <c r="AG128"/>
  <c r="Y128"/>
  <c r="Q128"/>
  <c r="I128"/>
  <c r="AE119"/>
  <c r="AG108"/>
  <c r="Y108"/>
  <c r="Q108"/>
  <c r="I108"/>
  <c r="AF138"/>
  <c r="X138"/>
  <c r="P138"/>
  <c r="H138"/>
  <c r="AF118"/>
  <c r="X118"/>
  <c r="P118"/>
  <c r="H118"/>
  <c r="AF97"/>
  <c r="H98"/>
  <c r="P98"/>
  <c r="X98"/>
  <c r="AF98"/>
  <c r="AE99"/>
  <c r="AF77"/>
  <c r="H78"/>
  <c r="P78"/>
  <c r="X78"/>
  <c r="AF78"/>
  <c r="AE79"/>
  <c r="AF57"/>
  <c r="P58"/>
  <c r="AF58"/>
  <c r="AE59"/>
  <c r="H58"/>
  <c r="X58"/>
  <c r="AE148"/>
  <c r="W148"/>
  <c r="O148"/>
  <c r="G148"/>
  <c r="AG138"/>
  <c r="Y138"/>
  <c r="Q138"/>
  <c r="I138"/>
  <c r="AG118"/>
  <c r="Y118"/>
  <c r="Q118"/>
  <c r="I118"/>
  <c r="AG98"/>
  <c r="Y98"/>
  <c r="Q98"/>
  <c r="I98"/>
  <c r="AG97"/>
  <c r="AE89"/>
  <c r="AG78"/>
  <c r="Y78"/>
  <c r="Q78"/>
  <c r="I78"/>
  <c r="AG77"/>
  <c r="AE69"/>
  <c r="AG58"/>
  <c r="Q58"/>
  <c r="AG57"/>
  <c r="AF88"/>
  <c r="X88"/>
  <c r="P88"/>
  <c r="H88"/>
  <c r="AF68"/>
  <c r="X68"/>
  <c r="P68"/>
  <c r="H68"/>
  <c r="AG88"/>
  <c r="Y88"/>
  <c r="Q88"/>
  <c r="I88"/>
  <c r="AG68"/>
  <c r="Y68"/>
  <c r="Q68"/>
  <c r="I68"/>
  <c r="Y58"/>
  <c r="I58"/>
  <c r="AF48"/>
  <c r="X48"/>
  <c r="P48"/>
  <c r="H48"/>
  <c r="AF28"/>
  <c r="X28"/>
  <c r="P28"/>
  <c r="H28"/>
  <c r="AG48"/>
  <c r="Y48"/>
  <c r="Q48"/>
  <c r="I48"/>
  <c r="AG28"/>
  <c r="Y28"/>
  <c r="Q28"/>
  <c r="I28"/>
  <c r="AF9"/>
  <c r="AF39"/>
  <c r="AD29"/>
  <c r="AF19"/>
  <c r="AG8"/>
  <c r="Y8"/>
  <c r="Q8"/>
  <c r="I8"/>
  <c r="AG38"/>
  <c r="Y38"/>
  <c r="Q38"/>
  <c r="I38"/>
  <c r="AE28"/>
  <c r="W28"/>
  <c r="O28"/>
  <c r="G28"/>
  <c r="AG18"/>
  <c r="Y18"/>
  <c r="Q18"/>
  <c r="I18"/>
  <c r="F151" i="8"/>
  <c r="F155" s="1"/>
  <c r="G149"/>
  <c r="G148"/>
  <c r="B12"/>
  <c r="B12" i="9" s="1"/>
  <c r="E151" i="8"/>
  <c r="E155" s="1"/>
  <c r="E191"/>
  <c r="E195" s="1"/>
  <c r="F191"/>
  <c r="F195" s="1"/>
  <c r="G189"/>
  <c r="D186"/>
  <c r="E201"/>
  <c r="D200"/>
  <c r="G199"/>
  <c r="G198"/>
  <c r="G197"/>
  <c r="G196"/>
  <c r="D194"/>
  <c r="G191"/>
  <c r="G195" s="1"/>
  <c r="E189"/>
  <c r="E188"/>
  <c r="E187"/>
  <c r="E186"/>
  <c r="F201"/>
  <c r="D199"/>
  <c r="D198"/>
  <c r="D197"/>
  <c r="D196"/>
  <c r="D191"/>
  <c r="D195" s="1"/>
  <c r="F189"/>
  <c r="F188"/>
  <c r="F187"/>
  <c r="F186"/>
  <c r="D183"/>
  <c r="E199"/>
  <c r="E198"/>
  <c r="E197"/>
  <c r="E196"/>
  <c r="G188"/>
  <c r="G187"/>
  <c r="G186"/>
  <c r="D184"/>
  <c r="D201"/>
  <c r="F199"/>
  <c r="F198"/>
  <c r="F197"/>
  <c r="F196"/>
  <c r="D189"/>
  <c r="D188"/>
  <c r="D187"/>
  <c r="E181"/>
  <c r="E185" s="1"/>
  <c r="D180"/>
  <c r="G179"/>
  <c r="G178"/>
  <c r="G177"/>
  <c r="G176"/>
  <c r="D174"/>
  <c r="G171"/>
  <c r="G175" s="1"/>
  <c r="E169"/>
  <c r="E168"/>
  <c r="E167"/>
  <c r="E166"/>
  <c r="F181"/>
  <c r="F185" s="1"/>
  <c r="D179"/>
  <c r="D178"/>
  <c r="D177"/>
  <c r="D176"/>
  <c r="D171"/>
  <c r="D175" s="1"/>
  <c r="F169"/>
  <c r="F168"/>
  <c r="F167"/>
  <c r="F166"/>
  <c r="D163"/>
  <c r="E179"/>
  <c r="E178"/>
  <c r="E177"/>
  <c r="E176"/>
  <c r="G167"/>
  <c r="G166"/>
  <c r="D164"/>
  <c r="D181"/>
  <c r="D185" s="1"/>
  <c r="F179"/>
  <c r="F178"/>
  <c r="F177"/>
  <c r="F176"/>
  <c r="D168"/>
  <c r="D167"/>
  <c r="E161"/>
  <c r="E165" s="1"/>
  <c r="D160"/>
  <c r="G159"/>
  <c r="G158"/>
  <c r="G157"/>
  <c r="G156"/>
  <c r="D154"/>
  <c r="G151"/>
  <c r="G155" s="1"/>
  <c r="E149"/>
  <c r="E148"/>
  <c r="E147"/>
  <c r="E146"/>
  <c r="G161"/>
  <c r="G165" s="1"/>
  <c r="F161"/>
  <c r="F165" s="1"/>
  <c r="D159"/>
  <c r="D158"/>
  <c r="D157"/>
  <c r="D156"/>
  <c r="D151"/>
  <c r="D155" s="1"/>
  <c r="F149"/>
  <c r="F148"/>
  <c r="F147"/>
  <c r="F146"/>
  <c r="D143"/>
  <c r="E159"/>
  <c r="E158"/>
  <c r="E157"/>
  <c r="E156"/>
  <c r="G147"/>
  <c r="G146"/>
  <c r="D144"/>
  <c r="D161"/>
  <c r="D165" s="1"/>
  <c r="F159"/>
  <c r="F158"/>
  <c r="F157"/>
  <c r="F156"/>
  <c r="D148"/>
  <c r="D147"/>
  <c r="D141"/>
  <c r="D145" s="1"/>
  <c r="E141"/>
  <c r="E145" s="1"/>
  <c r="D140"/>
  <c r="G139"/>
  <c r="G138"/>
  <c r="G137"/>
  <c r="G136"/>
  <c r="D134"/>
  <c r="G131"/>
  <c r="G135" s="1"/>
  <c r="E129"/>
  <c r="E128"/>
  <c r="E127"/>
  <c r="E126"/>
  <c r="F141"/>
  <c r="F145" s="1"/>
  <c r="D139"/>
  <c r="D138"/>
  <c r="D137"/>
  <c r="D136"/>
  <c r="D131"/>
  <c r="D135" s="1"/>
  <c r="F129"/>
  <c r="F128"/>
  <c r="F127"/>
  <c r="F126"/>
  <c r="D123"/>
  <c r="E139"/>
  <c r="E138"/>
  <c r="E137"/>
  <c r="E136"/>
  <c r="G127"/>
  <c r="G126"/>
  <c r="D124"/>
  <c r="F139"/>
  <c r="F138"/>
  <c r="F137"/>
  <c r="F136"/>
  <c r="D128"/>
  <c r="D127"/>
  <c r="D83"/>
  <c r="D93"/>
  <c r="D103"/>
  <c r="D6"/>
  <c r="F6"/>
  <c r="E6"/>
  <c r="B22"/>
  <c r="B22" i="9" s="1"/>
  <c r="G6" i="8"/>
  <c r="AD3" i="4"/>
  <c r="AD12" s="1"/>
  <c r="AG3"/>
  <c r="AG12" s="1"/>
  <c r="AE3"/>
  <c r="AA3"/>
  <c r="W3"/>
  <c r="W12" s="1"/>
  <c r="S3"/>
  <c r="S12" s="1"/>
  <c r="O3"/>
  <c r="O12" s="1"/>
  <c r="K3"/>
  <c r="G3"/>
  <c r="G12" s="1"/>
  <c r="AF3"/>
  <c r="AF12" s="1"/>
  <c r="AB3"/>
  <c r="X3"/>
  <c r="X12" s="1"/>
  <c r="T3"/>
  <c r="T12" s="1"/>
  <c r="P3"/>
  <c r="P12" s="1"/>
  <c r="L3"/>
  <c r="L12" s="1"/>
  <c r="H3"/>
  <c r="H12" s="1"/>
  <c r="D3"/>
  <c r="B6" s="1"/>
  <c r="AC3"/>
  <c r="AC12" s="1"/>
  <c r="Y3"/>
  <c r="Y12" s="1"/>
  <c r="U3"/>
  <c r="U12" s="1"/>
  <c r="Q3"/>
  <c r="M3"/>
  <c r="M12" s="1"/>
  <c r="I3"/>
  <c r="I12" s="1"/>
  <c r="E3"/>
  <c r="Z3"/>
  <c r="Z12" s="1"/>
  <c r="V3"/>
  <c r="V12" s="1"/>
  <c r="R3"/>
  <c r="R12" s="1"/>
  <c r="N3"/>
  <c r="N12" s="1"/>
  <c r="J3"/>
  <c r="J12" s="1"/>
  <c r="F3"/>
  <c r="F12" s="1"/>
  <c r="Z10"/>
  <c r="AH10"/>
  <c r="AH12"/>
  <c r="E12"/>
  <c r="K12"/>
  <c r="V10"/>
  <c r="F10"/>
  <c r="J10"/>
  <c r="AD10"/>
  <c r="N10"/>
  <c r="AE10"/>
  <c r="R10"/>
  <c r="AG10"/>
  <c r="AC10"/>
  <c r="Y10"/>
  <c r="U10"/>
  <c r="Q10"/>
  <c r="M10"/>
  <c r="I10"/>
  <c r="E10"/>
  <c r="AA10"/>
  <c r="W10"/>
  <c r="S10"/>
  <c r="O10"/>
  <c r="K10"/>
  <c r="G10"/>
  <c r="AF10"/>
  <c r="AB10"/>
  <c r="X10"/>
  <c r="T10"/>
  <c r="P10"/>
  <c r="L10"/>
  <c r="H10"/>
  <c r="D10"/>
  <c r="C6" s="1"/>
  <c r="AB12"/>
  <c r="AE12"/>
  <c r="AA12"/>
  <c r="Q12"/>
  <c r="C12"/>
  <c r="AF107" i="9" l="1"/>
  <c r="AE109"/>
  <c r="AE187"/>
  <c r="AD189"/>
  <c r="AF127"/>
  <c r="AE129"/>
  <c r="O168"/>
  <c r="AD169"/>
  <c r="AE147"/>
  <c r="AD149"/>
  <c r="AF47"/>
  <c r="AE49"/>
  <c r="G40"/>
  <c r="C50"/>
  <c r="AH122"/>
  <c r="AH123" s="1"/>
  <c r="AG122"/>
  <c r="AG123" s="1"/>
  <c r="AF122"/>
  <c r="AF123" s="1"/>
  <c r="AF7"/>
  <c r="H8"/>
  <c r="P8"/>
  <c r="X8"/>
  <c r="AF8"/>
  <c r="AE9"/>
  <c r="AD69"/>
  <c r="AE67"/>
  <c r="G68"/>
  <c r="O68"/>
  <c r="W68"/>
  <c r="AE68"/>
  <c r="AE137"/>
  <c r="G138"/>
  <c r="O138"/>
  <c r="W138"/>
  <c r="AE138"/>
  <c r="AD139"/>
  <c r="AE197"/>
  <c r="G198"/>
  <c r="O198"/>
  <c r="W198"/>
  <c r="AE198"/>
  <c r="AD199"/>
  <c r="AE132"/>
  <c r="AE133" s="1"/>
  <c r="AE192"/>
  <c r="AE193" s="1"/>
  <c r="D84" i="8"/>
  <c r="AH82" i="9"/>
  <c r="AH83" s="1"/>
  <c r="AG82"/>
  <c r="AG83" s="1"/>
  <c r="AF82"/>
  <c r="AF83" s="1"/>
  <c r="AE82"/>
  <c r="AE83" s="1"/>
  <c r="AE142"/>
  <c r="AE143" s="1"/>
  <c r="AD142"/>
  <c r="AD143" s="1"/>
  <c r="AH142"/>
  <c r="AH143" s="1"/>
  <c r="AG142"/>
  <c r="AG143" s="1"/>
  <c r="AF142"/>
  <c r="AF143" s="1"/>
  <c r="AF92"/>
  <c r="AF93" s="1"/>
  <c r="AE92"/>
  <c r="AE93" s="1"/>
  <c r="AH92"/>
  <c r="AH93" s="1"/>
  <c r="AG92"/>
  <c r="AG93" s="1"/>
  <c r="AF37"/>
  <c r="H38"/>
  <c r="P38"/>
  <c r="X38"/>
  <c r="AF38"/>
  <c r="AE39"/>
  <c r="AE97"/>
  <c r="G98"/>
  <c r="O98"/>
  <c r="W98"/>
  <c r="AE98"/>
  <c r="AD99"/>
  <c r="AE159"/>
  <c r="X158"/>
  <c r="P158"/>
  <c r="H158"/>
  <c r="AF157"/>
  <c r="AF158"/>
  <c r="AH102"/>
  <c r="AH103" s="1"/>
  <c r="AG102"/>
  <c r="AG103" s="1"/>
  <c r="AE102"/>
  <c r="AE103" s="1"/>
  <c r="AF102"/>
  <c r="AF103" s="1"/>
  <c r="AG162"/>
  <c r="AG163" s="1"/>
  <c r="AF162"/>
  <c r="AF163" s="1"/>
  <c r="AH162"/>
  <c r="AH163" s="1"/>
  <c r="AE162"/>
  <c r="AE163" s="1"/>
  <c r="AD162"/>
  <c r="AD163" s="1"/>
  <c r="AD27"/>
  <c r="F28"/>
  <c r="N28"/>
  <c r="V28"/>
  <c r="AD28"/>
  <c r="AC29"/>
  <c r="AD89"/>
  <c r="AE87"/>
  <c r="G88"/>
  <c r="O88"/>
  <c r="W88"/>
  <c r="AE88"/>
  <c r="AE117"/>
  <c r="G118"/>
  <c r="O118"/>
  <c r="W118"/>
  <c r="AE118"/>
  <c r="AD119"/>
  <c r="AE177"/>
  <c r="G178"/>
  <c r="O178"/>
  <c r="W178"/>
  <c r="AE178"/>
  <c r="AD179"/>
  <c r="AE182"/>
  <c r="AE183" s="1"/>
  <c r="AD182"/>
  <c r="AD183" s="1"/>
  <c r="AH182"/>
  <c r="AH183" s="1"/>
  <c r="AG182"/>
  <c r="AG183" s="1"/>
  <c r="AF182"/>
  <c r="AF183" s="1"/>
  <c r="AF17"/>
  <c r="H18"/>
  <c r="P18"/>
  <c r="X18"/>
  <c r="AF18"/>
  <c r="AE19"/>
  <c r="AE57"/>
  <c r="G58"/>
  <c r="O58"/>
  <c r="W58"/>
  <c r="AE58"/>
  <c r="AD59"/>
  <c r="AE77"/>
  <c r="G78"/>
  <c r="O78"/>
  <c r="W78"/>
  <c r="AE78"/>
  <c r="AD79"/>
  <c r="AE172"/>
  <c r="AE173" s="1"/>
  <c r="D104" i="8"/>
  <c r="D94"/>
  <c r="B32"/>
  <c r="B32" i="9" s="1"/>
  <c r="D12" i="4"/>
  <c r="C5" s="1"/>
  <c r="G50" i="9" l="1"/>
  <c r="C60"/>
  <c r="AD147"/>
  <c r="AD148"/>
  <c r="AC149"/>
  <c r="F148"/>
  <c r="N148"/>
  <c r="V148"/>
  <c r="AE127"/>
  <c r="AD129"/>
  <c r="O128"/>
  <c r="W128"/>
  <c r="AE128"/>
  <c r="G128"/>
  <c r="G108"/>
  <c r="AD109"/>
  <c r="O108"/>
  <c r="W108"/>
  <c r="AE107"/>
  <c r="AE108"/>
  <c r="AE122"/>
  <c r="AE123" s="1"/>
  <c r="AD49"/>
  <c r="AE48"/>
  <c r="AE47"/>
  <c r="G48"/>
  <c r="O48"/>
  <c r="W48"/>
  <c r="F168"/>
  <c r="V168"/>
  <c r="AD168"/>
  <c r="AD167"/>
  <c r="AC169"/>
  <c r="N168"/>
  <c r="AD187"/>
  <c r="N188"/>
  <c r="AC189"/>
  <c r="V188"/>
  <c r="AD188"/>
  <c r="F188"/>
  <c r="AD57"/>
  <c r="N58"/>
  <c r="AD58"/>
  <c r="F58"/>
  <c r="V58"/>
  <c r="AC59"/>
  <c r="AC179"/>
  <c r="AD177"/>
  <c r="F178"/>
  <c r="N178"/>
  <c r="V178"/>
  <c r="AD178"/>
  <c r="AD172"/>
  <c r="AD173" s="1"/>
  <c r="AC27"/>
  <c r="E28"/>
  <c r="M28"/>
  <c r="U28"/>
  <c r="AC28"/>
  <c r="AB29"/>
  <c r="AC99"/>
  <c r="AD97"/>
  <c r="N98"/>
  <c r="AD98"/>
  <c r="F98"/>
  <c r="V98"/>
  <c r="AE17"/>
  <c r="G18"/>
  <c r="O18"/>
  <c r="W18"/>
  <c r="AE18"/>
  <c r="AD19"/>
  <c r="AC119"/>
  <c r="AD117"/>
  <c r="F118"/>
  <c r="N118"/>
  <c r="V118"/>
  <c r="AD118"/>
  <c r="AD87"/>
  <c r="F88"/>
  <c r="N88"/>
  <c r="V88"/>
  <c r="AD88"/>
  <c r="AC89"/>
  <c r="AC199"/>
  <c r="AD197"/>
  <c r="F198"/>
  <c r="N198"/>
  <c r="V198"/>
  <c r="AD198"/>
  <c r="AD192"/>
  <c r="AD193" s="1"/>
  <c r="AC139"/>
  <c r="AD137"/>
  <c r="F138"/>
  <c r="N138"/>
  <c r="V138"/>
  <c r="AD138"/>
  <c r="AD132"/>
  <c r="AD133" s="1"/>
  <c r="AD9"/>
  <c r="AE7"/>
  <c r="G8"/>
  <c r="O8"/>
  <c r="W8"/>
  <c r="AE8"/>
  <c r="AD77"/>
  <c r="F78"/>
  <c r="N78"/>
  <c r="V78"/>
  <c r="AD78"/>
  <c r="AC79"/>
  <c r="AE37"/>
  <c r="G38"/>
  <c r="O38"/>
  <c r="W38"/>
  <c r="AE38"/>
  <c r="AD39"/>
  <c r="AD67"/>
  <c r="F68"/>
  <c r="N68"/>
  <c r="V68"/>
  <c r="AD68"/>
  <c r="AC69"/>
  <c r="AE157"/>
  <c r="G158"/>
  <c r="O158"/>
  <c r="W158"/>
  <c r="AE158"/>
  <c r="AD159"/>
  <c r="AE152"/>
  <c r="AE153" s="1"/>
  <c r="AD92"/>
  <c r="AD93" s="1"/>
  <c r="AD82"/>
  <c r="AD83" s="1"/>
  <c r="B42" i="8"/>
  <c r="B42" i="9" s="1"/>
  <c r="E148" l="1"/>
  <c r="AB149"/>
  <c r="AC147"/>
  <c r="AC148"/>
  <c r="U148"/>
  <c r="M148"/>
  <c r="AC142"/>
  <c r="AC143" s="1"/>
  <c r="AC49"/>
  <c r="V48"/>
  <c r="N48"/>
  <c r="F48"/>
  <c r="AD47"/>
  <c r="AD48"/>
  <c r="AD127"/>
  <c r="AD128"/>
  <c r="F128"/>
  <c r="N128"/>
  <c r="AC129"/>
  <c r="V128"/>
  <c r="AD122"/>
  <c r="AD123" s="1"/>
  <c r="C70"/>
  <c r="G60"/>
  <c r="AC187"/>
  <c r="AC188"/>
  <c r="U188"/>
  <c r="AC182"/>
  <c r="AC183" s="1"/>
  <c r="E188"/>
  <c r="AB189"/>
  <c r="M188"/>
  <c r="AC162"/>
  <c r="AC163" s="1"/>
  <c r="U168"/>
  <c r="M168"/>
  <c r="AC167"/>
  <c r="AC168"/>
  <c r="E168"/>
  <c r="AB169"/>
  <c r="AD107"/>
  <c r="AD108"/>
  <c r="AC109"/>
  <c r="F108"/>
  <c r="N108"/>
  <c r="V108"/>
  <c r="AD102"/>
  <c r="AD103" s="1"/>
  <c r="AC137"/>
  <c r="E138"/>
  <c r="M138"/>
  <c r="U138"/>
  <c r="AC138"/>
  <c r="AB139"/>
  <c r="AC132"/>
  <c r="AC133" s="1"/>
  <c r="AC87"/>
  <c r="E88"/>
  <c r="M88"/>
  <c r="U88"/>
  <c r="AC88"/>
  <c r="AB89"/>
  <c r="AC82"/>
  <c r="AC83" s="1"/>
  <c r="AC19"/>
  <c r="AD17"/>
  <c r="F18"/>
  <c r="N18"/>
  <c r="V18"/>
  <c r="AD18"/>
  <c r="AA29"/>
  <c r="AB27"/>
  <c r="D28"/>
  <c r="L28"/>
  <c r="T28"/>
  <c r="AB28"/>
  <c r="AC177"/>
  <c r="E178"/>
  <c r="M178"/>
  <c r="U178"/>
  <c r="AC178"/>
  <c r="AB179"/>
  <c r="AC172"/>
  <c r="AC173" s="1"/>
  <c r="AB79"/>
  <c r="AC77"/>
  <c r="E78"/>
  <c r="M78"/>
  <c r="U78"/>
  <c r="AC78"/>
  <c r="AC197"/>
  <c r="E198"/>
  <c r="M198"/>
  <c r="U198"/>
  <c r="AC198"/>
  <c r="AB199"/>
  <c r="AC192"/>
  <c r="AC193" s="1"/>
  <c r="AB99"/>
  <c r="AC97"/>
  <c r="E98"/>
  <c r="M98"/>
  <c r="U98"/>
  <c r="AC98"/>
  <c r="AC92"/>
  <c r="AC93" s="1"/>
  <c r="AD157"/>
  <c r="F158"/>
  <c r="N158"/>
  <c r="V158"/>
  <c r="AD158"/>
  <c r="AC159"/>
  <c r="AD152"/>
  <c r="AD153" s="1"/>
  <c r="AC67"/>
  <c r="E68"/>
  <c r="M68"/>
  <c r="U68"/>
  <c r="AC68"/>
  <c r="AB69"/>
  <c r="AC39"/>
  <c r="AD37"/>
  <c r="F38"/>
  <c r="N38"/>
  <c r="V38"/>
  <c r="AD38"/>
  <c r="AD7"/>
  <c r="F8"/>
  <c r="N8"/>
  <c r="V8"/>
  <c r="AD8"/>
  <c r="AC9"/>
  <c r="AC117"/>
  <c r="E118"/>
  <c r="M118"/>
  <c r="U118"/>
  <c r="AC118"/>
  <c r="AB119"/>
  <c r="E58"/>
  <c r="U58"/>
  <c r="AB59"/>
  <c r="AC57"/>
  <c r="M58"/>
  <c r="AC58"/>
  <c r="B52" i="8"/>
  <c r="B52" i="9" s="1"/>
  <c r="G70" l="1"/>
  <c r="C80"/>
  <c r="AC127"/>
  <c r="AC128"/>
  <c r="U128"/>
  <c r="AC122"/>
  <c r="AC123" s="1"/>
  <c r="M128"/>
  <c r="E128"/>
  <c r="AB129"/>
  <c r="D148"/>
  <c r="AB147"/>
  <c r="AB148"/>
  <c r="AA149"/>
  <c r="T148"/>
  <c r="AB142"/>
  <c r="AB143" s="1"/>
  <c r="L148"/>
  <c r="AC102"/>
  <c r="AC103" s="1"/>
  <c r="U108"/>
  <c r="M108"/>
  <c r="AC107"/>
  <c r="E108"/>
  <c r="AB109"/>
  <c r="AC108"/>
  <c r="AA169"/>
  <c r="T168"/>
  <c r="L168"/>
  <c r="AB167"/>
  <c r="D168"/>
  <c r="AB168"/>
  <c r="AB162"/>
  <c r="AB163" s="1"/>
  <c r="AB182"/>
  <c r="AB183" s="1"/>
  <c r="D188"/>
  <c r="AB187"/>
  <c r="AB188"/>
  <c r="AA189"/>
  <c r="T188"/>
  <c r="L188"/>
  <c r="E48"/>
  <c r="AB49"/>
  <c r="AC47"/>
  <c r="AC48"/>
  <c r="U48"/>
  <c r="M48"/>
  <c r="AB197"/>
  <c r="D198"/>
  <c r="L198"/>
  <c r="T198"/>
  <c r="AB198"/>
  <c r="AA199"/>
  <c r="AB192"/>
  <c r="AB193" s="1"/>
  <c r="AB177"/>
  <c r="D178"/>
  <c r="L178"/>
  <c r="T178"/>
  <c r="AB178"/>
  <c r="AA179"/>
  <c r="AB172"/>
  <c r="AB173" s="1"/>
  <c r="AC7"/>
  <c r="E8"/>
  <c r="M8"/>
  <c r="U8"/>
  <c r="AC8"/>
  <c r="AB9"/>
  <c r="AB67"/>
  <c r="D68"/>
  <c r="L68"/>
  <c r="T68"/>
  <c r="AB68"/>
  <c r="AA69"/>
  <c r="D58"/>
  <c r="T58"/>
  <c r="AA59"/>
  <c r="AB57"/>
  <c r="L58"/>
  <c r="AB58"/>
  <c r="AC37"/>
  <c r="E38"/>
  <c r="M38"/>
  <c r="U38"/>
  <c r="AC38"/>
  <c r="AB39"/>
  <c r="AC157"/>
  <c r="AC158"/>
  <c r="AB159"/>
  <c r="U158"/>
  <c r="M158"/>
  <c r="E158"/>
  <c r="AC152"/>
  <c r="AC153" s="1"/>
  <c r="AB97"/>
  <c r="D98"/>
  <c r="L98"/>
  <c r="T98"/>
  <c r="AB98"/>
  <c r="AA99"/>
  <c r="AB92"/>
  <c r="AB93" s="1"/>
  <c r="AB77"/>
  <c r="D78"/>
  <c r="L78"/>
  <c r="T78"/>
  <c r="AB78"/>
  <c r="AA79"/>
  <c r="AA27"/>
  <c r="C28"/>
  <c r="K28"/>
  <c r="S28"/>
  <c r="AA28"/>
  <c r="Z29"/>
  <c r="AB87"/>
  <c r="D88"/>
  <c r="L88"/>
  <c r="T88"/>
  <c r="AB88"/>
  <c r="AA89"/>
  <c r="AB82"/>
  <c r="AB83" s="1"/>
  <c r="AB117"/>
  <c r="D118"/>
  <c r="L118"/>
  <c r="T118"/>
  <c r="AB118"/>
  <c r="AA119"/>
  <c r="AB137"/>
  <c r="D138"/>
  <c r="L138"/>
  <c r="T138"/>
  <c r="AB138"/>
  <c r="AA139"/>
  <c r="AB132"/>
  <c r="AB133" s="1"/>
  <c r="AC17"/>
  <c r="E18"/>
  <c r="M18"/>
  <c r="U18"/>
  <c r="AC18"/>
  <c r="AB19"/>
  <c r="B62" i="8"/>
  <c r="B62" i="9" s="1"/>
  <c r="AA147" l="1"/>
  <c r="AA148"/>
  <c r="AA142"/>
  <c r="S148"/>
  <c r="K148"/>
  <c r="C148"/>
  <c r="Z149"/>
  <c r="AA129"/>
  <c r="T128"/>
  <c r="L128"/>
  <c r="AB122"/>
  <c r="AB123" s="1"/>
  <c r="D128"/>
  <c r="AB127"/>
  <c r="AB128"/>
  <c r="L108"/>
  <c r="AB102"/>
  <c r="AB103" s="1"/>
  <c r="D108"/>
  <c r="AB107"/>
  <c r="AB108"/>
  <c r="AA109"/>
  <c r="T108"/>
  <c r="C90"/>
  <c r="G80"/>
  <c r="D48"/>
  <c r="AA49"/>
  <c r="L48"/>
  <c r="AB47"/>
  <c r="AB48"/>
  <c r="T48"/>
  <c r="S188"/>
  <c r="K188"/>
  <c r="AA182"/>
  <c r="C188"/>
  <c r="Z189"/>
  <c r="AA187"/>
  <c r="AA188"/>
  <c r="S168"/>
  <c r="AA162"/>
  <c r="K168"/>
  <c r="C168"/>
  <c r="AA167"/>
  <c r="Z169"/>
  <c r="AA168"/>
  <c r="AA137"/>
  <c r="C138"/>
  <c r="K138"/>
  <c r="S138"/>
  <c r="AA138"/>
  <c r="Z139"/>
  <c r="AA132"/>
  <c r="Z89"/>
  <c r="AA87"/>
  <c r="C88"/>
  <c r="K88"/>
  <c r="S88"/>
  <c r="AA88"/>
  <c r="AA82"/>
  <c r="AA77"/>
  <c r="C78"/>
  <c r="K78"/>
  <c r="S78"/>
  <c r="AA78"/>
  <c r="Z79"/>
  <c r="AA57"/>
  <c r="C58"/>
  <c r="K58"/>
  <c r="S58"/>
  <c r="AA58"/>
  <c r="Z59"/>
  <c r="AA177"/>
  <c r="C178"/>
  <c r="K178"/>
  <c r="S178"/>
  <c r="AA178"/>
  <c r="Z179"/>
  <c r="AA172"/>
  <c r="AA117"/>
  <c r="C118"/>
  <c r="K118"/>
  <c r="S118"/>
  <c r="AA118"/>
  <c r="Z119"/>
  <c r="AA97"/>
  <c r="C98"/>
  <c r="K98"/>
  <c r="S98"/>
  <c r="AA98"/>
  <c r="Z99"/>
  <c r="AA92"/>
  <c r="AB37"/>
  <c r="D38"/>
  <c r="L38"/>
  <c r="T38"/>
  <c r="AB38"/>
  <c r="AA39"/>
  <c r="Z69"/>
  <c r="AA67"/>
  <c r="C68"/>
  <c r="K68"/>
  <c r="S68"/>
  <c r="AA68"/>
  <c r="AB7"/>
  <c r="D8"/>
  <c r="L8"/>
  <c r="T8"/>
  <c r="AB8"/>
  <c r="AA9"/>
  <c r="Z27"/>
  <c r="Y29"/>
  <c r="AB17"/>
  <c r="D18"/>
  <c r="L18"/>
  <c r="T18"/>
  <c r="AB18"/>
  <c r="AA19"/>
  <c r="AA159"/>
  <c r="D158"/>
  <c r="AB157"/>
  <c r="AB158"/>
  <c r="T158"/>
  <c r="L158"/>
  <c r="AB152"/>
  <c r="AB153" s="1"/>
  <c r="AA197"/>
  <c r="C198"/>
  <c r="K198"/>
  <c r="S198"/>
  <c r="AA198"/>
  <c r="Z199"/>
  <c r="AA192"/>
  <c r="B72" i="8"/>
  <c r="B72" i="9" s="1"/>
  <c r="AA47" l="1"/>
  <c r="AA48"/>
  <c r="S48"/>
  <c r="K48"/>
  <c r="C48"/>
  <c r="Z49"/>
  <c r="Z162"/>
  <c r="Z163" s="1"/>
  <c r="Y169"/>
  <c r="Z167"/>
  <c r="AA163"/>
  <c r="AA166" s="1"/>
  <c r="AE166" s="1"/>
  <c r="AA165"/>
  <c r="AE165" s="1"/>
  <c r="Z187"/>
  <c r="Z182"/>
  <c r="Z183" s="1"/>
  <c r="Y189"/>
  <c r="C100"/>
  <c r="G90"/>
  <c r="Z142"/>
  <c r="Z143" s="1"/>
  <c r="Y149"/>
  <c r="Z147"/>
  <c r="AA145"/>
  <c r="AE145" s="1"/>
  <c r="AA143"/>
  <c r="AA146" s="1"/>
  <c r="AE146" s="1"/>
  <c r="AA183"/>
  <c r="AA186" s="1"/>
  <c r="AE186" s="1"/>
  <c r="AA185"/>
  <c r="AE185" s="1"/>
  <c r="S108"/>
  <c r="AA102"/>
  <c r="K108"/>
  <c r="AA107"/>
  <c r="C108"/>
  <c r="Z109"/>
  <c r="AA108"/>
  <c r="K128"/>
  <c r="AA122"/>
  <c r="C128"/>
  <c r="Z129"/>
  <c r="AA127"/>
  <c r="AA128"/>
  <c r="S128"/>
  <c r="AA195"/>
  <c r="AE195" s="1"/>
  <c r="AA193"/>
  <c r="AA196" s="1"/>
  <c r="AE196" s="1"/>
  <c r="Y119"/>
  <c r="Z117"/>
  <c r="AA175"/>
  <c r="AE175" s="1"/>
  <c r="AA173"/>
  <c r="AA176" s="1"/>
  <c r="AE176" s="1"/>
  <c r="Y27"/>
  <c r="X29"/>
  <c r="Z9"/>
  <c r="AA7"/>
  <c r="C8"/>
  <c r="K8"/>
  <c r="S8"/>
  <c r="AA8"/>
  <c r="AA37"/>
  <c r="C38"/>
  <c r="K38"/>
  <c r="S38"/>
  <c r="AA38"/>
  <c r="Z39"/>
  <c r="Z57"/>
  <c r="Y59"/>
  <c r="AA85"/>
  <c r="AE85" s="1"/>
  <c r="AA83"/>
  <c r="AA86" s="1"/>
  <c r="AE86" s="1"/>
  <c r="Y139"/>
  <c r="Z137"/>
  <c r="Z132"/>
  <c r="Z133" s="1"/>
  <c r="AA157"/>
  <c r="C158"/>
  <c r="K158"/>
  <c r="S158"/>
  <c r="AA158"/>
  <c r="Z159"/>
  <c r="AA152"/>
  <c r="Z67"/>
  <c r="Y69"/>
  <c r="Y99"/>
  <c r="Z97"/>
  <c r="Z92"/>
  <c r="Z93" s="1"/>
  <c r="AA135"/>
  <c r="AE135" s="1"/>
  <c r="AA133"/>
  <c r="AA136" s="1"/>
  <c r="AE136" s="1"/>
  <c r="Y199"/>
  <c r="Z197"/>
  <c r="Z192"/>
  <c r="Z193" s="1"/>
  <c r="AA17"/>
  <c r="C18"/>
  <c r="K18"/>
  <c r="S18"/>
  <c r="AA18"/>
  <c r="Z19"/>
  <c r="AA93"/>
  <c r="AA96" s="1"/>
  <c r="AE96" s="1"/>
  <c r="AA95"/>
  <c r="AE95" s="1"/>
  <c r="Y179"/>
  <c r="Z177"/>
  <c r="Z172"/>
  <c r="Z173" s="1"/>
  <c r="Z77"/>
  <c r="Y79"/>
  <c r="Z87"/>
  <c r="Y89"/>
  <c r="Z82"/>
  <c r="Z83" s="1"/>
  <c r="G109" i="8"/>
  <c r="G89"/>
  <c r="B82"/>
  <c r="B82" i="9" s="1"/>
  <c r="Z107" l="1"/>
  <c r="Y109"/>
  <c r="Z102"/>
  <c r="Z103" s="1"/>
  <c r="AA105"/>
  <c r="AE105" s="1"/>
  <c r="AA103"/>
  <c r="AA106" s="1"/>
  <c r="AE106" s="1"/>
  <c r="Z127"/>
  <c r="Y129"/>
  <c r="Z122"/>
  <c r="Z123" s="1"/>
  <c r="Y142"/>
  <c r="Y143" s="1"/>
  <c r="Y147"/>
  <c r="X149"/>
  <c r="Y187"/>
  <c r="Y182"/>
  <c r="Y183" s="1"/>
  <c r="X189"/>
  <c r="Z47"/>
  <c r="Y49"/>
  <c r="C110"/>
  <c r="G100"/>
  <c r="AA125"/>
  <c r="AE125" s="1"/>
  <c r="AA123"/>
  <c r="AA126" s="1"/>
  <c r="AE126" s="1"/>
  <c r="Y167"/>
  <c r="Y162"/>
  <c r="Y163" s="1"/>
  <c r="X169"/>
  <c r="X59"/>
  <c r="Y57"/>
  <c r="Z7"/>
  <c r="Y9"/>
  <c r="Y87"/>
  <c r="X89"/>
  <c r="Y82"/>
  <c r="Y83" s="1"/>
  <c r="Y67"/>
  <c r="X69"/>
  <c r="Y19"/>
  <c r="Z17"/>
  <c r="Y197"/>
  <c r="X199"/>
  <c r="Y192"/>
  <c r="Y193" s="1"/>
  <c r="X99"/>
  <c r="Y97"/>
  <c r="Y92"/>
  <c r="Y93" s="1"/>
  <c r="Z157"/>
  <c r="Y159"/>
  <c r="Z152"/>
  <c r="Z153" s="1"/>
  <c r="X79"/>
  <c r="Y77"/>
  <c r="Y177"/>
  <c r="X179"/>
  <c r="Y172"/>
  <c r="Y173" s="1"/>
  <c r="AA153"/>
  <c r="AA156" s="1"/>
  <c r="AE156" s="1"/>
  <c r="AA155"/>
  <c r="AE155" s="1"/>
  <c r="Y137"/>
  <c r="X139"/>
  <c r="Y132"/>
  <c r="Y133" s="1"/>
  <c r="Y39"/>
  <c r="Z37"/>
  <c r="W29"/>
  <c r="X27"/>
  <c r="Y117"/>
  <c r="X119"/>
  <c r="B92" i="8"/>
  <c r="B92" i="9" s="1"/>
  <c r="C120" l="1"/>
  <c r="G110"/>
  <c r="X182"/>
  <c r="X183" s="1"/>
  <c r="X187"/>
  <c r="W189"/>
  <c r="X109"/>
  <c r="Y107"/>
  <c r="Y102"/>
  <c r="Y103" s="1"/>
  <c r="X162"/>
  <c r="X163" s="1"/>
  <c r="X167"/>
  <c r="W169"/>
  <c r="X142"/>
  <c r="X143" s="1"/>
  <c r="X147"/>
  <c r="W149"/>
  <c r="Y122"/>
  <c r="Y123" s="1"/>
  <c r="X129"/>
  <c r="Y127"/>
  <c r="X49"/>
  <c r="Y47"/>
  <c r="Y17"/>
  <c r="X19"/>
  <c r="Y7"/>
  <c r="X9"/>
  <c r="X117"/>
  <c r="W119"/>
  <c r="Y37"/>
  <c r="X39"/>
  <c r="X177"/>
  <c r="W179"/>
  <c r="X172"/>
  <c r="X173" s="1"/>
  <c r="Y157"/>
  <c r="X159"/>
  <c r="Y152"/>
  <c r="Y153" s="1"/>
  <c r="X97"/>
  <c r="W99"/>
  <c r="X92"/>
  <c r="X93" s="1"/>
  <c r="W27"/>
  <c r="V29"/>
  <c r="X137"/>
  <c r="W139"/>
  <c r="X132"/>
  <c r="X133" s="1"/>
  <c r="X77"/>
  <c r="W79"/>
  <c r="X87"/>
  <c r="W89"/>
  <c r="X82"/>
  <c r="X83" s="1"/>
  <c r="W59"/>
  <c r="X57"/>
  <c r="X197"/>
  <c r="W199"/>
  <c r="X192"/>
  <c r="X193" s="1"/>
  <c r="X67"/>
  <c r="W69"/>
  <c r="G99" i="8"/>
  <c r="B102"/>
  <c r="B102" i="9" s="1"/>
  <c r="W187" l="1"/>
  <c r="W182"/>
  <c r="W183" s="1"/>
  <c r="V189"/>
  <c r="C130"/>
  <c r="G120"/>
  <c r="W49"/>
  <c r="X47"/>
  <c r="W147"/>
  <c r="W142"/>
  <c r="W143" s="1"/>
  <c r="V149"/>
  <c r="X102"/>
  <c r="X103" s="1"/>
  <c r="W109"/>
  <c r="X107"/>
  <c r="W162"/>
  <c r="W163" s="1"/>
  <c r="W167"/>
  <c r="V169"/>
  <c r="X122"/>
  <c r="X123" s="1"/>
  <c r="X127"/>
  <c r="W129"/>
  <c r="V89"/>
  <c r="W87"/>
  <c r="W82"/>
  <c r="W83" s="1"/>
  <c r="W97"/>
  <c r="V99"/>
  <c r="W92"/>
  <c r="W93" s="1"/>
  <c r="X17"/>
  <c r="W19"/>
  <c r="V27"/>
  <c r="U29"/>
  <c r="W159"/>
  <c r="X157"/>
  <c r="X152"/>
  <c r="X153" s="1"/>
  <c r="W117"/>
  <c r="V119"/>
  <c r="X7"/>
  <c r="W9"/>
  <c r="V69"/>
  <c r="W67"/>
  <c r="W57"/>
  <c r="V59"/>
  <c r="W77"/>
  <c r="V79"/>
  <c r="W177"/>
  <c r="V179"/>
  <c r="W172"/>
  <c r="W173" s="1"/>
  <c r="X37"/>
  <c r="W39"/>
  <c r="W197"/>
  <c r="V199"/>
  <c r="W192"/>
  <c r="W193" s="1"/>
  <c r="W137"/>
  <c r="V139"/>
  <c r="W132"/>
  <c r="W133" s="1"/>
  <c r="B112" i="8"/>
  <c r="B112" i="9" s="1"/>
  <c r="V147" l="1"/>
  <c r="V142"/>
  <c r="V143" s="1"/>
  <c r="U149"/>
  <c r="V49"/>
  <c r="W47"/>
  <c r="W127"/>
  <c r="W122"/>
  <c r="W123" s="1"/>
  <c r="V129"/>
  <c r="V182"/>
  <c r="V183" s="1"/>
  <c r="U189"/>
  <c r="V187"/>
  <c r="V162"/>
  <c r="V163" s="1"/>
  <c r="U169"/>
  <c r="V167"/>
  <c r="V109"/>
  <c r="W107"/>
  <c r="W102"/>
  <c r="W103" s="1"/>
  <c r="G130"/>
  <c r="C140"/>
  <c r="U179"/>
  <c r="V177"/>
  <c r="V172"/>
  <c r="V173" s="1"/>
  <c r="U119"/>
  <c r="V117"/>
  <c r="W157"/>
  <c r="V159"/>
  <c r="W152"/>
  <c r="W153" s="1"/>
  <c r="U99"/>
  <c r="V97"/>
  <c r="V92"/>
  <c r="V93" s="1"/>
  <c r="V87"/>
  <c r="U89"/>
  <c r="V82"/>
  <c r="V83" s="1"/>
  <c r="U139"/>
  <c r="V137"/>
  <c r="V132"/>
  <c r="V133" s="1"/>
  <c r="V57"/>
  <c r="U59"/>
  <c r="W17"/>
  <c r="V19"/>
  <c r="U199"/>
  <c r="V197"/>
  <c r="V192"/>
  <c r="V193" s="1"/>
  <c r="V67"/>
  <c r="U69"/>
  <c r="V9"/>
  <c r="W7"/>
  <c r="W37"/>
  <c r="V39"/>
  <c r="V77"/>
  <c r="U79"/>
  <c r="U27"/>
  <c r="T29"/>
  <c r="B122" i="8"/>
  <c r="B122" i="9" s="1"/>
  <c r="U162" l="1"/>
  <c r="U163" s="1"/>
  <c r="T169"/>
  <c r="U167"/>
  <c r="U187"/>
  <c r="U182"/>
  <c r="U183" s="1"/>
  <c r="T189"/>
  <c r="G140"/>
  <c r="C150"/>
  <c r="V102"/>
  <c r="V103" s="1"/>
  <c r="U109"/>
  <c r="V107"/>
  <c r="T149"/>
  <c r="U142"/>
  <c r="U143" s="1"/>
  <c r="U147"/>
  <c r="V122"/>
  <c r="V123" s="1"/>
  <c r="U129"/>
  <c r="V127"/>
  <c r="V47"/>
  <c r="U49"/>
  <c r="U19"/>
  <c r="V17"/>
  <c r="U177"/>
  <c r="T179"/>
  <c r="U172"/>
  <c r="U173" s="1"/>
  <c r="U67"/>
  <c r="T69"/>
  <c r="U197"/>
  <c r="T199"/>
  <c r="U192"/>
  <c r="U193" s="1"/>
  <c r="U137"/>
  <c r="T139"/>
  <c r="U132"/>
  <c r="U133" s="1"/>
  <c r="V157"/>
  <c r="U159"/>
  <c r="V152"/>
  <c r="V153" s="1"/>
  <c r="T79"/>
  <c r="U77"/>
  <c r="S29"/>
  <c r="T27"/>
  <c r="U39"/>
  <c r="V37"/>
  <c r="V7"/>
  <c r="U9"/>
  <c r="U57"/>
  <c r="T59"/>
  <c r="U117"/>
  <c r="T119"/>
  <c r="U87"/>
  <c r="T89"/>
  <c r="U82"/>
  <c r="U83" s="1"/>
  <c r="T99"/>
  <c r="U97"/>
  <c r="U92"/>
  <c r="U93" s="1"/>
  <c r="B132" i="8"/>
  <c r="B132" i="9" s="1"/>
  <c r="U102" l="1"/>
  <c r="U103" s="1"/>
  <c r="T109"/>
  <c r="U107"/>
  <c r="T182"/>
  <c r="T183" s="1"/>
  <c r="T187"/>
  <c r="S189"/>
  <c r="T167"/>
  <c r="S169"/>
  <c r="T162"/>
  <c r="T163" s="1"/>
  <c r="U47"/>
  <c r="T49"/>
  <c r="T129"/>
  <c r="U122"/>
  <c r="U123" s="1"/>
  <c r="U127"/>
  <c r="T147"/>
  <c r="S149"/>
  <c r="T142"/>
  <c r="T143" s="1"/>
  <c r="C160"/>
  <c r="G150"/>
  <c r="T137"/>
  <c r="S139"/>
  <c r="T132"/>
  <c r="T133" s="1"/>
  <c r="T77"/>
  <c r="S79"/>
  <c r="T67"/>
  <c r="S69"/>
  <c r="T177"/>
  <c r="S179"/>
  <c r="T172"/>
  <c r="T173" s="1"/>
  <c r="T87"/>
  <c r="S89"/>
  <c r="T82"/>
  <c r="T83" s="1"/>
  <c r="T57"/>
  <c r="S59"/>
  <c r="U37"/>
  <c r="T39"/>
  <c r="T117"/>
  <c r="S119"/>
  <c r="T97"/>
  <c r="S99"/>
  <c r="T92"/>
  <c r="T93" s="1"/>
  <c r="U7"/>
  <c r="T9"/>
  <c r="S27"/>
  <c r="R29"/>
  <c r="U157"/>
  <c r="T159"/>
  <c r="U152"/>
  <c r="U153" s="1"/>
  <c r="T197"/>
  <c r="S199"/>
  <c r="T192"/>
  <c r="T193" s="1"/>
  <c r="U17"/>
  <c r="T19"/>
  <c r="B142" i="8"/>
  <c r="B142" i="9" s="1"/>
  <c r="C170" l="1"/>
  <c r="G160"/>
  <c r="S182"/>
  <c r="R189"/>
  <c r="S187"/>
  <c r="T102"/>
  <c r="T103" s="1"/>
  <c r="T107"/>
  <c r="S109"/>
  <c r="T47"/>
  <c r="S49"/>
  <c r="S142"/>
  <c r="R149"/>
  <c r="S147"/>
  <c r="S129"/>
  <c r="T122"/>
  <c r="T123" s="1"/>
  <c r="T127"/>
  <c r="S162"/>
  <c r="S167"/>
  <c r="R169"/>
  <c r="T37"/>
  <c r="S39"/>
  <c r="S159"/>
  <c r="T157"/>
  <c r="T152"/>
  <c r="T153" s="1"/>
  <c r="S77"/>
  <c r="R79"/>
  <c r="S137"/>
  <c r="R139"/>
  <c r="S132"/>
  <c r="T7"/>
  <c r="S9"/>
  <c r="R27"/>
  <c r="Q29"/>
  <c r="S117"/>
  <c r="R119"/>
  <c r="S57"/>
  <c r="R59"/>
  <c r="S177"/>
  <c r="R179"/>
  <c r="S172"/>
  <c r="T17"/>
  <c r="S19"/>
  <c r="S197"/>
  <c r="R199"/>
  <c r="S192"/>
  <c r="S97"/>
  <c r="R99"/>
  <c r="S92"/>
  <c r="R89"/>
  <c r="S87"/>
  <c r="S82"/>
  <c r="R69"/>
  <c r="S67"/>
  <c r="B152" i="8"/>
  <c r="B152" i="9" s="1"/>
  <c r="S163" l="1"/>
  <c r="S166" s="1"/>
  <c r="W166" s="1"/>
  <c r="S165"/>
  <c r="W165" s="1"/>
  <c r="C180"/>
  <c r="G170"/>
  <c r="S127"/>
  <c r="S122"/>
  <c r="R129"/>
  <c r="R49"/>
  <c r="S47"/>
  <c r="R167"/>
  <c r="Q169"/>
  <c r="R162"/>
  <c r="R163" s="1"/>
  <c r="S145"/>
  <c r="W145" s="1"/>
  <c r="S143"/>
  <c r="S146" s="1"/>
  <c r="W146" s="1"/>
  <c r="S183"/>
  <c r="S186" s="1"/>
  <c r="W186" s="1"/>
  <c r="S185"/>
  <c r="W185" s="1"/>
  <c r="Q149"/>
  <c r="R147"/>
  <c r="R142"/>
  <c r="R143" s="1"/>
  <c r="S107"/>
  <c r="R109"/>
  <c r="S102"/>
  <c r="R182"/>
  <c r="R183" s="1"/>
  <c r="R187"/>
  <c r="Q189"/>
  <c r="R77"/>
  <c r="Q79"/>
  <c r="S37"/>
  <c r="R39"/>
  <c r="Q199"/>
  <c r="R197"/>
  <c r="R192"/>
  <c r="R193" s="1"/>
  <c r="R9"/>
  <c r="S7"/>
  <c r="S157"/>
  <c r="R159"/>
  <c r="S152"/>
  <c r="S93"/>
  <c r="S96" s="1"/>
  <c r="W96" s="1"/>
  <c r="S95"/>
  <c r="W95" s="1"/>
  <c r="Q179"/>
  <c r="R177"/>
  <c r="R172"/>
  <c r="R173" s="1"/>
  <c r="Q119"/>
  <c r="R117"/>
  <c r="R87"/>
  <c r="Q89"/>
  <c r="R82"/>
  <c r="R83" s="1"/>
  <c r="S173"/>
  <c r="S176" s="1"/>
  <c r="W176" s="1"/>
  <c r="S175"/>
  <c r="W175" s="1"/>
  <c r="R67"/>
  <c r="Q69"/>
  <c r="S193"/>
  <c r="S196" s="1"/>
  <c r="W196" s="1"/>
  <c r="S195"/>
  <c r="W195" s="1"/>
  <c r="R57"/>
  <c r="Q59"/>
  <c r="Q139"/>
  <c r="R137"/>
  <c r="R132"/>
  <c r="R133" s="1"/>
  <c r="S83"/>
  <c r="S86" s="1"/>
  <c r="W86" s="1"/>
  <c r="S85"/>
  <c r="W85" s="1"/>
  <c r="Q99"/>
  <c r="R97"/>
  <c r="R92"/>
  <c r="R93" s="1"/>
  <c r="S17"/>
  <c r="R19"/>
  <c r="Q27"/>
  <c r="P29"/>
  <c r="S133"/>
  <c r="S136" s="1"/>
  <c r="W136" s="1"/>
  <c r="S135"/>
  <c r="W135" s="1"/>
  <c r="B162" i="8"/>
  <c r="B162" i="9" s="1"/>
  <c r="F109" i="8"/>
  <c r="F89"/>
  <c r="Q187" i="9" l="1"/>
  <c r="Q182"/>
  <c r="Q183" s="1"/>
  <c r="P189"/>
  <c r="R102"/>
  <c r="R103" s="1"/>
  <c r="Q109"/>
  <c r="R107"/>
  <c r="Q147"/>
  <c r="Q142"/>
  <c r="Q143" s="1"/>
  <c r="P149"/>
  <c r="S105"/>
  <c r="W105" s="1"/>
  <c r="S103"/>
  <c r="S106" s="1"/>
  <c r="W106" s="1"/>
  <c r="S123"/>
  <c r="S126" s="1"/>
  <c r="W126" s="1"/>
  <c r="S125"/>
  <c r="W125" s="1"/>
  <c r="Q167"/>
  <c r="Q162"/>
  <c r="Q163" s="1"/>
  <c r="P169"/>
  <c r="R127"/>
  <c r="R122"/>
  <c r="R123" s="1"/>
  <c r="Q129"/>
  <c r="G180"/>
  <c r="C190"/>
  <c r="R47"/>
  <c r="Q49"/>
  <c r="Q177"/>
  <c r="P179"/>
  <c r="Q172"/>
  <c r="Q173" s="1"/>
  <c r="R7"/>
  <c r="Q9"/>
  <c r="Q87"/>
  <c r="P89"/>
  <c r="Q82"/>
  <c r="Q83" s="1"/>
  <c r="P79"/>
  <c r="Q77"/>
  <c r="Q19"/>
  <c r="R17"/>
  <c r="P99"/>
  <c r="Q97"/>
  <c r="Q92"/>
  <c r="Q93" s="1"/>
  <c r="O29"/>
  <c r="P27"/>
  <c r="P59"/>
  <c r="Q57"/>
  <c r="Q67"/>
  <c r="P69"/>
  <c r="R157"/>
  <c r="Q159"/>
  <c r="R152"/>
  <c r="R153" s="1"/>
  <c r="Q197"/>
  <c r="P199"/>
  <c r="Q192"/>
  <c r="Q193" s="1"/>
  <c r="Q137"/>
  <c r="P139"/>
  <c r="Q132"/>
  <c r="Q133" s="1"/>
  <c r="Q117"/>
  <c r="P119"/>
  <c r="S153"/>
  <c r="S156" s="1"/>
  <c r="W156" s="1"/>
  <c r="S155"/>
  <c r="W155" s="1"/>
  <c r="Q39"/>
  <c r="R37"/>
  <c r="B172" i="8"/>
  <c r="B172" i="9" s="1"/>
  <c r="C200" l="1"/>
  <c r="G200" s="1"/>
  <c r="B192" i="8" s="1"/>
  <c r="B192" i="9" s="1"/>
  <c r="G190"/>
  <c r="P142"/>
  <c r="P143" s="1"/>
  <c r="P147"/>
  <c r="O149"/>
  <c r="P109"/>
  <c r="Q107"/>
  <c r="Q102"/>
  <c r="Q103" s="1"/>
  <c r="Q47"/>
  <c r="P49"/>
  <c r="Q127"/>
  <c r="Q122"/>
  <c r="Q123" s="1"/>
  <c r="P129"/>
  <c r="P187"/>
  <c r="O189"/>
  <c r="P182"/>
  <c r="P183" s="1"/>
  <c r="O169"/>
  <c r="P167"/>
  <c r="P162"/>
  <c r="P163" s="1"/>
  <c r="P117"/>
  <c r="O119"/>
  <c r="Q157"/>
  <c r="P159"/>
  <c r="Q152"/>
  <c r="Q153" s="1"/>
  <c r="P67"/>
  <c r="O69"/>
  <c r="P97"/>
  <c r="O99"/>
  <c r="P92"/>
  <c r="P93" s="1"/>
  <c r="P77"/>
  <c r="O79"/>
  <c r="P137"/>
  <c r="O139"/>
  <c r="P132"/>
  <c r="P133" s="1"/>
  <c r="P57"/>
  <c r="O59"/>
  <c r="P87"/>
  <c r="O89"/>
  <c r="P82"/>
  <c r="P83" s="1"/>
  <c r="P177"/>
  <c r="O179"/>
  <c r="P172"/>
  <c r="P173" s="1"/>
  <c r="P197"/>
  <c r="O199"/>
  <c r="P192"/>
  <c r="P193" s="1"/>
  <c r="Q17"/>
  <c r="P19"/>
  <c r="Q37"/>
  <c r="P39"/>
  <c r="O27"/>
  <c r="N29"/>
  <c r="Q7"/>
  <c r="P9"/>
  <c r="B182" i="8"/>
  <c r="B182" i="9" s="1"/>
  <c r="F99" i="8"/>
  <c r="O162" i="9" l="1"/>
  <c r="O163" s="1"/>
  <c r="N169"/>
  <c r="O167"/>
  <c r="O129"/>
  <c r="P122"/>
  <c r="P123" s="1"/>
  <c r="P127"/>
  <c r="N149"/>
  <c r="O147"/>
  <c r="O142"/>
  <c r="O143" s="1"/>
  <c r="O49"/>
  <c r="P47"/>
  <c r="O109"/>
  <c r="P107"/>
  <c r="P102"/>
  <c r="P103" s="1"/>
  <c r="N189"/>
  <c r="O187"/>
  <c r="O182"/>
  <c r="O183" s="1"/>
  <c r="N27"/>
  <c r="M29"/>
  <c r="O97"/>
  <c r="N99"/>
  <c r="O92"/>
  <c r="O93" s="1"/>
  <c r="O197"/>
  <c r="N199"/>
  <c r="O192"/>
  <c r="O193" s="1"/>
  <c r="O57"/>
  <c r="N59"/>
  <c r="O117"/>
  <c r="N119"/>
  <c r="P7"/>
  <c r="O9"/>
  <c r="O177"/>
  <c r="N179"/>
  <c r="O172"/>
  <c r="O173" s="1"/>
  <c r="N69"/>
  <c r="O67"/>
  <c r="P37"/>
  <c r="O39"/>
  <c r="P17"/>
  <c r="O19"/>
  <c r="N89"/>
  <c r="O87"/>
  <c r="O82"/>
  <c r="O83" s="1"/>
  <c r="O137"/>
  <c r="N139"/>
  <c r="O132"/>
  <c r="O133" s="1"/>
  <c r="O77"/>
  <c r="N79"/>
  <c r="O159"/>
  <c r="P157"/>
  <c r="P152"/>
  <c r="P153" s="1"/>
  <c r="E109" i="8"/>
  <c r="E89"/>
  <c r="O47" i="9" l="1"/>
  <c r="N49"/>
  <c r="M169"/>
  <c r="N167"/>
  <c r="N162"/>
  <c r="N163" s="1"/>
  <c r="N187"/>
  <c r="N182"/>
  <c r="N183" s="1"/>
  <c r="M189"/>
  <c r="M149"/>
  <c r="N147"/>
  <c r="N142"/>
  <c r="N143" s="1"/>
  <c r="O107"/>
  <c r="O102"/>
  <c r="O103" s="1"/>
  <c r="N109"/>
  <c r="O122"/>
  <c r="O123" s="1"/>
  <c r="N129"/>
  <c r="O127"/>
  <c r="N87"/>
  <c r="M89"/>
  <c r="N82"/>
  <c r="N83" s="1"/>
  <c r="N9"/>
  <c r="O7"/>
  <c r="N57"/>
  <c r="M59"/>
  <c r="M27"/>
  <c r="L29"/>
  <c r="M139"/>
  <c r="N137"/>
  <c r="N132"/>
  <c r="N133" s="1"/>
  <c r="O37"/>
  <c r="N39"/>
  <c r="M179"/>
  <c r="N177"/>
  <c r="N172"/>
  <c r="N173" s="1"/>
  <c r="M119"/>
  <c r="N117"/>
  <c r="M199"/>
  <c r="N197"/>
  <c r="N192"/>
  <c r="N193" s="1"/>
  <c r="O157"/>
  <c r="N159"/>
  <c r="O152"/>
  <c r="O153" s="1"/>
  <c r="N77"/>
  <c r="M79"/>
  <c r="O17"/>
  <c r="N19"/>
  <c r="N67"/>
  <c r="M69"/>
  <c r="M99"/>
  <c r="N97"/>
  <c r="N92"/>
  <c r="N93" s="1"/>
  <c r="E99" i="8"/>
  <c r="M142" i="9" l="1"/>
  <c r="M143" s="1"/>
  <c r="L149"/>
  <c r="M147"/>
  <c r="N102"/>
  <c r="N103" s="1"/>
  <c r="M109"/>
  <c r="N107"/>
  <c r="M49"/>
  <c r="N47"/>
  <c r="M162"/>
  <c r="M163" s="1"/>
  <c r="L169"/>
  <c r="M167"/>
  <c r="N127"/>
  <c r="N122"/>
  <c r="N123" s="1"/>
  <c r="M129"/>
  <c r="M187"/>
  <c r="M182"/>
  <c r="M183" s="1"/>
  <c r="L189"/>
  <c r="L59"/>
  <c r="M57"/>
  <c r="K29"/>
  <c r="L27"/>
  <c r="M87"/>
  <c r="L89"/>
  <c r="M82"/>
  <c r="M83" s="1"/>
  <c r="M19"/>
  <c r="N17"/>
  <c r="M117"/>
  <c r="L119"/>
  <c r="L99"/>
  <c r="M97"/>
  <c r="M92"/>
  <c r="M93" s="1"/>
  <c r="M67"/>
  <c r="L69"/>
  <c r="L79"/>
  <c r="M77"/>
  <c r="M177"/>
  <c r="L179"/>
  <c r="M172"/>
  <c r="M173" s="1"/>
  <c r="M39"/>
  <c r="N37"/>
  <c r="M137"/>
  <c r="L139"/>
  <c r="M132"/>
  <c r="M133" s="1"/>
  <c r="N157"/>
  <c r="M159"/>
  <c r="N152"/>
  <c r="N153" s="1"/>
  <c r="M197"/>
  <c r="L199"/>
  <c r="M192"/>
  <c r="M193" s="1"/>
  <c r="N7"/>
  <c r="M9"/>
  <c r="D53" i="8"/>
  <c r="D110"/>
  <c r="D90"/>
  <c r="D113"/>
  <c r="L182" i="9" l="1"/>
  <c r="L183" s="1"/>
  <c r="L187"/>
  <c r="K189"/>
  <c r="M102"/>
  <c r="M103" s="1"/>
  <c r="M107"/>
  <c r="L109"/>
  <c r="L129"/>
  <c r="M127"/>
  <c r="M122"/>
  <c r="M123" s="1"/>
  <c r="K169"/>
  <c r="L167"/>
  <c r="L162"/>
  <c r="L163" s="1"/>
  <c r="L147"/>
  <c r="K149"/>
  <c r="L142"/>
  <c r="L143" s="1"/>
  <c r="M47"/>
  <c r="L49"/>
  <c r="M112"/>
  <c r="M113" s="1"/>
  <c r="Q112"/>
  <c r="Q113" s="1"/>
  <c r="U112"/>
  <c r="U113" s="1"/>
  <c r="Y112"/>
  <c r="Y113" s="1"/>
  <c r="AC112"/>
  <c r="AC113" s="1"/>
  <c r="AG112"/>
  <c r="AG113" s="1"/>
  <c r="L112"/>
  <c r="L113" s="1"/>
  <c r="P112"/>
  <c r="P113" s="1"/>
  <c r="T112"/>
  <c r="T113" s="1"/>
  <c r="X112"/>
  <c r="X113" s="1"/>
  <c r="AB112"/>
  <c r="AB113" s="1"/>
  <c r="AF112"/>
  <c r="AF113" s="1"/>
  <c r="O112"/>
  <c r="O113" s="1"/>
  <c r="S112"/>
  <c r="W112"/>
  <c r="W113" s="1"/>
  <c r="AA112"/>
  <c r="AE112"/>
  <c r="AE113" s="1"/>
  <c r="N112"/>
  <c r="N113" s="1"/>
  <c r="R112"/>
  <c r="R113" s="1"/>
  <c r="V112"/>
  <c r="V113" s="1"/>
  <c r="Z112"/>
  <c r="Z113" s="1"/>
  <c r="AD112"/>
  <c r="AD113" s="1"/>
  <c r="AH112"/>
  <c r="AH113" s="1"/>
  <c r="L77"/>
  <c r="K79"/>
  <c r="K59"/>
  <c r="L57"/>
  <c r="M7"/>
  <c r="L9"/>
  <c r="K52"/>
  <c r="O52"/>
  <c r="O53" s="1"/>
  <c r="S52"/>
  <c r="W52"/>
  <c r="W53" s="1"/>
  <c r="AA52"/>
  <c r="AE52"/>
  <c r="AE53" s="1"/>
  <c r="N52"/>
  <c r="N53" s="1"/>
  <c r="R52"/>
  <c r="R53" s="1"/>
  <c r="V52"/>
  <c r="V53" s="1"/>
  <c r="Z52"/>
  <c r="Z53" s="1"/>
  <c r="AD52"/>
  <c r="AD53" s="1"/>
  <c r="AH52"/>
  <c r="AH53" s="1"/>
  <c r="M52"/>
  <c r="M53" s="1"/>
  <c r="U52"/>
  <c r="U53" s="1"/>
  <c r="AC52"/>
  <c r="AC53" s="1"/>
  <c r="L52"/>
  <c r="L53" s="1"/>
  <c r="T52"/>
  <c r="T53" s="1"/>
  <c r="AB52"/>
  <c r="AB53" s="1"/>
  <c r="Q52"/>
  <c r="Q53" s="1"/>
  <c r="Y52"/>
  <c r="Y53" s="1"/>
  <c r="AG52"/>
  <c r="AG53" s="1"/>
  <c r="P52"/>
  <c r="P53" s="1"/>
  <c r="X52"/>
  <c r="X53" s="1"/>
  <c r="AF52"/>
  <c r="AF53" s="1"/>
  <c r="L197"/>
  <c r="K199"/>
  <c r="L192"/>
  <c r="L193" s="1"/>
  <c r="L137"/>
  <c r="K139"/>
  <c r="L132"/>
  <c r="L133" s="1"/>
  <c r="L117"/>
  <c r="K119"/>
  <c r="M157"/>
  <c r="L159"/>
  <c r="M152"/>
  <c r="M153" s="1"/>
  <c r="M37"/>
  <c r="L39"/>
  <c r="M17"/>
  <c r="L19"/>
  <c r="K27"/>
  <c r="J29"/>
  <c r="L177"/>
  <c r="K179"/>
  <c r="L172"/>
  <c r="L173" s="1"/>
  <c r="L67"/>
  <c r="K69"/>
  <c r="L97"/>
  <c r="K99"/>
  <c r="L92"/>
  <c r="L93" s="1"/>
  <c r="L87"/>
  <c r="K89"/>
  <c r="L82"/>
  <c r="L83" s="1"/>
  <c r="D114" i="8"/>
  <c r="D54"/>
  <c r="D60"/>
  <c r="D63"/>
  <c r="D73"/>
  <c r="D43"/>
  <c r="D23"/>
  <c r="K49" i="9" l="1"/>
  <c r="L47"/>
  <c r="K142"/>
  <c r="J149"/>
  <c r="K147"/>
  <c r="J169"/>
  <c r="K162"/>
  <c r="K167"/>
  <c r="L102"/>
  <c r="L103" s="1"/>
  <c r="L107"/>
  <c r="K109"/>
  <c r="K129"/>
  <c r="L122"/>
  <c r="L123" s="1"/>
  <c r="L127"/>
  <c r="J189"/>
  <c r="K187"/>
  <c r="K182"/>
  <c r="L72"/>
  <c r="L73" s="1"/>
  <c r="P72"/>
  <c r="P73" s="1"/>
  <c r="T72"/>
  <c r="T73" s="1"/>
  <c r="X72"/>
  <c r="X73" s="1"/>
  <c r="AB72"/>
  <c r="AB73" s="1"/>
  <c r="AF72"/>
  <c r="AF73" s="1"/>
  <c r="K72"/>
  <c r="O72"/>
  <c r="O73" s="1"/>
  <c r="S72"/>
  <c r="W72"/>
  <c r="W73" s="1"/>
  <c r="AA72"/>
  <c r="AE72"/>
  <c r="AE73" s="1"/>
  <c r="N72"/>
  <c r="N73" s="1"/>
  <c r="R72"/>
  <c r="R73" s="1"/>
  <c r="V72"/>
  <c r="V73" s="1"/>
  <c r="Z72"/>
  <c r="Z73" s="1"/>
  <c r="AD72"/>
  <c r="AD73" s="1"/>
  <c r="AH72"/>
  <c r="AH73" s="1"/>
  <c r="M72"/>
  <c r="M73" s="1"/>
  <c r="Q72"/>
  <c r="Q73" s="1"/>
  <c r="U72"/>
  <c r="U73" s="1"/>
  <c r="Y72"/>
  <c r="Y73" s="1"/>
  <c r="AC72"/>
  <c r="AC73" s="1"/>
  <c r="AG72"/>
  <c r="AG73" s="1"/>
  <c r="K97"/>
  <c r="J99"/>
  <c r="K92"/>
  <c r="L37"/>
  <c r="K39"/>
  <c r="L7"/>
  <c r="K9"/>
  <c r="K77"/>
  <c r="J79"/>
  <c r="J72" s="1"/>
  <c r="J73" s="1"/>
  <c r="S113"/>
  <c r="S116" s="1"/>
  <c r="W116" s="1"/>
  <c r="S115"/>
  <c r="W115" s="1"/>
  <c r="K42"/>
  <c r="O42"/>
  <c r="O43" s="1"/>
  <c r="S42"/>
  <c r="M42"/>
  <c r="M43" s="1"/>
  <c r="Q42"/>
  <c r="Q43" s="1"/>
  <c r="U42"/>
  <c r="U43" s="1"/>
  <c r="Y42"/>
  <c r="Y43" s="1"/>
  <c r="AC42"/>
  <c r="AC43" s="1"/>
  <c r="AG42"/>
  <c r="AG43" s="1"/>
  <c r="L42"/>
  <c r="L43" s="1"/>
  <c r="P42"/>
  <c r="P43" s="1"/>
  <c r="T42"/>
  <c r="T43" s="1"/>
  <c r="X42"/>
  <c r="X43" s="1"/>
  <c r="AB42"/>
  <c r="AB43" s="1"/>
  <c r="AF42"/>
  <c r="AF43" s="1"/>
  <c r="V42"/>
  <c r="V43" s="1"/>
  <c r="AD42"/>
  <c r="AD43" s="1"/>
  <c r="R42"/>
  <c r="R43" s="1"/>
  <c r="AA42"/>
  <c r="N42"/>
  <c r="N43" s="1"/>
  <c r="Z42"/>
  <c r="Z43" s="1"/>
  <c r="AH42"/>
  <c r="AH43" s="1"/>
  <c r="W42"/>
  <c r="W43" s="1"/>
  <c r="AE42"/>
  <c r="AE43" s="1"/>
  <c r="J89"/>
  <c r="K87"/>
  <c r="K82"/>
  <c r="K177"/>
  <c r="J179"/>
  <c r="K172"/>
  <c r="K22"/>
  <c r="O22"/>
  <c r="O23" s="1"/>
  <c r="S22"/>
  <c r="W22"/>
  <c r="W23" s="1"/>
  <c r="AA22"/>
  <c r="AE22"/>
  <c r="AE23" s="1"/>
  <c r="J22"/>
  <c r="J23" s="1"/>
  <c r="N22"/>
  <c r="N23" s="1"/>
  <c r="R22"/>
  <c r="R23" s="1"/>
  <c r="V22"/>
  <c r="V23" s="1"/>
  <c r="Z22"/>
  <c r="Z23" s="1"/>
  <c r="AD22"/>
  <c r="AD23" s="1"/>
  <c r="AH22"/>
  <c r="AH23" s="1"/>
  <c r="M22"/>
  <c r="M23" s="1"/>
  <c r="Q22"/>
  <c r="Q23" s="1"/>
  <c r="U22"/>
  <c r="U23" s="1"/>
  <c r="Y22"/>
  <c r="Y23" s="1"/>
  <c r="AC22"/>
  <c r="AC23" s="1"/>
  <c r="AG22"/>
  <c r="AG23" s="1"/>
  <c r="L22"/>
  <c r="L23" s="1"/>
  <c r="P22"/>
  <c r="P23" s="1"/>
  <c r="T22"/>
  <c r="T23" s="1"/>
  <c r="X22"/>
  <c r="X23" s="1"/>
  <c r="AB22"/>
  <c r="AB23" s="1"/>
  <c r="AF22"/>
  <c r="AF23" s="1"/>
  <c r="N62"/>
  <c r="N63" s="1"/>
  <c r="R62"/>
  <c r="R63" s="1"/>
  <c r="V62"/>
  <c r="V63" s="1"/>
  <c r="Z62"/>
  <c r="Z63" s="1"/>
  <c r="AD62"/>
  <c r="AD63" s="1"/>
  <c r="AH62"/>
  <c r="AH63" s="1"/>
  <c r="M62"/>
  <c r="M63" s="1"/>
  <c r="Q62"/>
  <c r="Q63" s="1"/>
  <c r="U62"/>
  <c r="U63" s="1"/>
  <c r="Y62"/>
  <c r="Y63" s="1"/>
  <c r="AC62"/>
  <c r="AC63" s="1"/>
  <c r="AG62"/>
  <c r="AG63" s="1"/>
  <c r="L62"/>
  <c r="L63" s="1"/>
  <c r="P62"/>
  <c r="P63" s="1"/>
  <c r="T62"/>
  <c r="T63" s="1"/>
  <c r="X62"/>
  <c r="X63" s="1"/>
  <c r="AB62"/>
  <c r="AB63" s="1"/>
  <c r="AF62"/>
  <c r="AF63" s="1"/>
  <c r="K62"/>
  <c r="O62"/>
  <c r="O63" s="1"/>
  <c r="S62"/>
  <c r="W62"/>
  <c r="W63" s="1"/>
  <c r="AA62"/>
  <c r="AE62"/>
  <c r="AE63" s="1"/>
  <c r="K159"/>
  <c r="L157"/>
  <c r="L152"/>
  <c r="L153" s="1"/>
  <c r="AA53"/>
  <c r="AA56" s="1"/>
  <c r="AE56" s="1"/>
  <c r="AA55"/>
  <c r="AE55" s="1"/>
  <c r="K53"/>
  <c r="K56" s="1"/>
  <c r="O56" s="1"/>
  <c r="K55"/>
  <c r="O55" s="1"/>
  <c r="K57"/>
  <c r="J59"/>
  <c r="J69"/>
  <c r="K67"/>
  <c r="J27"/>
  <c r="I29"/>
  <c r="L17"/>
  <c r="K19"/>
  <c r="K117"/>
  <c r="J119"/>
  <c r="K197"/>
  <c r="J199"/>
  <c r="K192"/>
  <c r="AA115"/>
  <c r="AE115" s="1"/>
  <c r="AA113"/>
  <c r="AA116" s="1"/>
  <c r="AE116" s="1"/>
  <c r="K112"/>
  <c r="K137"/>
  <c r="J139"/>
  <c r="K132"/>
  <c r="S53"/>
  <c r="S56" s="1"/>
  <c r="W56" s="1"/>
  <c r="S55"/>
  <c r="W55" s="1"/>
  <c r="D119" i="8"/>
  <c r="D120"/>
  <c r="D109"/>
  <c r="D89"/>
  <c r="D74"/>
  <c r="D80"/>
  <c r="D64"/>
  <c r="D59"/>
  <c r="D44"/>
  <c r="D24"/>
  <c r="D100"/>
  <c r="D33"/>
  <c r="K183" i="9" l="1"/>
  <c r="K186" s="1"/>
  <c r="O186" s="1"/>
  <c r="K185"/>
  <c r="O185" s="1"/>
  <c r="J49"/>
  <c r="K47"/>
  <c r="J162"/>
  <c r="J163" s="1"/>
  <c r="I169"/>
  <c r="J167"/>
  <c r="J182"/>
  <c r="J183" s="1"/>
  <c r="I189"/>
  <c r="J187"/>
  <c r="J109"/>
  <c r="K102"/>
  <c r="K107"/>
  <c r="K163"/>
  <c r="K166" s="1"/>
  <c r="O166" s="1"/>
  <c r="K165"/>
  <c r="O165" s="1"/>
  <c r="K145"/>
  <c r="O145" s="1"/>
  <c r="K143"/>
  <c r="K146" s="1"/>
  <c r="O146" s="1"/>
  <c r="K127"/>
  <c r="K122"/>
  <c r="J129"/>
  <c r="J142"/>
  <c r="J143" s="1"/>
  <c r="I149"/>
  <c r="J147"/>
  <c r="I139"/>
  <c r="J137"/>
  <c r="J132"/>
  <c r="J133" s="1"/>
  <c r="K195"/>
  <c r="O195" s="1"/>
  <c r="K193"/>
  <c r="K196" s="1"/>
  <c r="O196" s="1"/>
  <c r="K157"/>
  <c r="J159"/>
  <c r="K152"/>
  <c r="AA65"/>
  <c r="AE65" s="1"/>
  <c r="AA63"/>
  <c r="AA66" s="1"/>
  <c r="AE66" s="1"/>
  <c r="K65"/>
  <c r="O65" s="1"/>
  <c r="K63"/>
  <c r="K66" s="1"/>
  <c r="O66" s="1"/>
  <c r="S23"/>
  <c r="S26" s="1"/>
  <c r="W26" s="1"/>
  <c r="S25"/>
  <c r="W25" s="1"/>
  <c r="K85"/>
  <c r="O85" s="1"/>
  <c r="K83"/>
  <c r="K86" s="1"/>
  <c r="O86" s="1"/>
  <c r="K45"/>
  <c r="O45" s="1"/>
  <c r="K43"/>
  <c r="K46" s="1"/>
  <c r="O46" s="1"/>
  <c r="K37"/>
  <c r="J39"/>
  <c r="S73"/>
  <c r="S76" s="1"/>
  <c r="W76" s="1"/>
  <c r="S75"/>
  <c r="W75" s="1"/>
  <c r="K135"/>
  <c r="O135" s="1"/>
  <c r="K133"/>
  <c r="K136" s="1"/>
  <c r="O136" s="1"/>
  <c r="I119"/>
  <c r="J117"/>
  <c r="J112"/>
  <c r="J113" s="1"/>
  <c r="I27"/>
  <c r="H29"/>
  <c r="J9"/>
  <c r="K7"/>
  <c r="I99"/>
  <c r="J97"/>
  <c r="J92"/>
  <c r="J93" s="1"/>
  <c r="I22"/>
  <c r="I23" s="1"/>
  <c r="M32"/>
  <c r="M33" s="1"/>
  <c r="Q32"/>
  <c r="Q33" s="1"/>
  <c r="U32"/>
  <c r="U33" s="1"/>
  <c r="Y32"/>
  <c r="Y33" s="1"/>
  <c r="AC32"/>
  <c r="AC33" s="1"/>
  <c r="AG32"/>
  <c r="AG33" s="1"/>
  <c r="L32"/>
  <c r="L33" s="1"/>
  <c r="P32"/>
  <c r="P33" s="1"/>
  <c r="T32"/>
  <c r="T33" s="1"/>
  <c r="X32"/>
  <c r="X33" s="1"/>
  <c r="AB32"/>
  <c r="AB33" s="1"/>
  <c r="AF32"/>
  <c r="AF33" s="1"/>
  <c r="K32"/>
  <c r="O32"/>
  <c r="O33" s="1"/>
  <c r="S32"/>
  <c r="W32"/>
  <c r="W33" s="1"/>
  <c r="AA32"/>
  <c r="AE32"/>
  <c r="AE33" s="1"/>
  <c r="J32"/>
  <c r="J33" s="1"/>
  <c r="N32"/>
  <c r="N33" s="1"/>
  <c r="R32"/>
  <c r="R33" s="1"/>
  <c r="V32"/>
  <c r="V33" s="1"/>
  <c r="Z32"/>
  <c r="Z33" s="1"/>
  <c r="AD32"/>
  <c r="AD33" s="1"/>
  <c r="AH32"/>
  <c r="AH33" s="1"/>
  <c r="J67"/>
  <c r="I69"/>
  <c r="J57"/>
  <c r="I59"/>
  <c r="J52"/>
  <c r="J53" s="1"/>
  <c r="S63"/>
  <c r="S66" s="1"/>
  <c r="W66" s="1"/>
  <c r="S65"/>
  <c r="W65" s="1"/>
  <c r="AA23"/>
  <c r="AA26" s="1"/>
  <c r="AE26" s="1"/>
  <c r="AA25"/>
  <c r="AE25" s="1"/>
  <c r="K23"/>
  <c r="K26" s="1"/>
  <c r="O26" s="1"/>
  <c r="K25"/>
  <c r="O25" s="1"/>
  <c r="I179"/>
  <c r="J177"/>
  <c r="J172"/>
  <c r="J173" s="1"/>
  <c r="J87"/>
  <c r="I89"/>
  <c r="J82"/>
  <c r="J83" s="1"/>
  <c r="S43"/>
  <c r="S46" s="1"/>
  <c r="W46" s="1"/>
  <c r="S45"/>
  <c r="W45" s="1"/>
  <c r="K93"/>
  <c r="K96" s="1"/>
  <c r="O96" s="1"/>
  <c r="K95"/>
  <c r="O95" s="1"/>
  <c r="AA73"/>
  <c r="AA76" s="1"/>
  <c r="AE76" s="1"/>
  <c r="AA75"/>
  <c r="AE75" s="1"/>
  <c r="K73"/>
  <c r="K76" s="1"/>
  <c r="O76" s="1"/>
  <c r="K75"/>
  <c r="O75" s="1"/>
  <c r="K115"/>
  <c r="O115" s="1"/>
  <c r="K113"/>
  <c r="K116" s="1"/>
  <c r="O116" s="1"/>
  <c r="I199"/>
  <c r="J197"/>
  <c r="J192"/>
  <c r="J193" s="1"/>
  <c r="K17"/>
  <c r="J19"/>
  <c r="K175"/>
  <c r="O175" s="1"/>
  <c r="K173"/>
  <c r="K176" s="1"/>
  <c r="O176" s="1"/>
  <c r="AA45"/>
  <c r="AE45" s="1"/>
  <c r="AA43"/>
  <c r="AA46" s="1"/>
  <c r="AE46" s="1"/>
  <c r="J77"/>
  <c r="I79"/>
  <c r="J62"/>
  <c r="J63" s="1"/>
  <c r="G119" i="8"/>
  <c r="F119"/>
  <c r="E119"/>
  <c r="D79"/>
  <c r="D30"/>
  <c r="D69"/>
  <c r="D70"/>
  <c r="G59"/>
  <c r="E59"/>
  <c r="F59"/>
  <c r="D50"/>
  <c r="D49"/>
  <c r="D34"/>
  <c r="D29"/>
  <c r="I187" i="9" l="1"/>
  <c r="I182"/>
  <c r="I183" s="1"/>
  <c r="H189"/>
  <c r="H149"/>
  <c r="I147"/>
  <c r="I142"/>
  <c r="I143" s="1"/>
  <c r="I162"/>
  <c r="I163" s="1"/>
  <c r="H169"/>
  <c r="I167"/>
  <c r="K125"/>
  <c r="O125" s="1"/>
  <c r="K123"/>
  <c r="K126" s="1"/>
  <c r="O126" s="1"/>
  <c r="J102"/>
  <c r="J103" s="1"/>
  <c r="I109"/>
  <c r="J107"/>
  <c r="I49"/>
  <c r="J47"/>
  <c r="J42"/>
  <c r="J43" s="1"/>
  <c r="J122"/>
  <c r="J123" s="1"/>
  <c r="I129"/>
  <c r="J127"/>
  <c r="K103"/>
  <c r="K106" s="1"/>
  <c r="O106" s="1"/>
  <c r="K105"/>
  <c r="O105" s="1"/>
  <c r="I87"/>
  <c r="H89"/>
  <c r="I82"/>
  <c r="I83" s="1"/>
  <c r="I177"/>
  <c r="H179"/>
  <c r="I172"/>
  <c r="I173" s="1"/>
  <c r="I67"/>
  <c r="H69"/>
  <c r="I62"/>
  <c r="I63" s="1"/>
  <c r="I137"/>
  <c r="H139"/>
  <c r="I132"/>
  <c r="I133" s="1"/>
  <c r="H79"/>
  <c r="I77"/>
  <c r="I72"/>
  <c r="I73" s="1"/>
  <c r="AA35"/>
  <c r="AE35" s="1"/>
  <c r="AA33"/>
  <c r="AA36" s="1"/>
  <c r="AE36" s="1"/>
  <c r="K35"/>
  <c r="O35" s="1"/>
  <c r="K33"/>
  <c r="K36" s="1"/>
  <c r="O36" s="1"/>
  <c r="J7"/>
  <c r="I9"/>
  <c r="G29"/>
  <c r="H27"/>
  <c r="H22"/>
  <c r="H23" s="1"/>
  <c r="I117"/>
  <c r="H119"/>
  <c r="I112"/>
  <c r="I113" s="1"/>
  <c r="I39"/>
  <c r="J37"/>
  <c r="J157"/>
  <c r="I159"/>
  <c r="J152"/>
  <c r="J153" s="1"/>
  <c r="H59"/>
  <c r="I57"/>
  <c r="I52"/>
  <c r="I53" s="1"/>
  <c r="K153"/>
  <c r="K156" s="1"/>
  <c r="O156" s="1"/>
  <c r="K155"/>
  <c r="O155" s="1"/>
  <c r="I19"/>
  <c r="J17"/>
  <c r="I197"/>
  <c r="H199"/>
  <c r="I192"/>
  <c r="I193" s="1"/>
  <c r="S33"/>
  <c r="S36" s="1"/>
  <c r="W36" s="1"/>
  <c r="S35"/>
  <c r="W35" s="1"/>
  <c r="H99"/>
  <c r="I97"/>
  <c r="I92"/>
  <c r="I93" s="1"/>
  <c r="D99" i="8"/>
  <c r="G79"/>
  <c r="E79"/>
  <c r="F79"/>
  <c r="G69"/>
  <c r="F69"/>
  <c r="E69"/>
  <c r="F49"/>
  <c r="G49"/>
  <c r="E49"/>
  <c r="D40"/>
  <c r="G29"/>
  <c r="E29"/>
  <c r="F29"/>
  <c r="I102" i="9" l="1"/>
  <c r="I103" s="1"/>
  <c r="H109"/>
  <c r="I107"/>
  <c r="I127"/>
  <c r="I122"/>
  <c r="I123" s="1"/>
  <c r="H129"/>
  <c r="H49"/>
  <c r="I42"/>
  <c r="I43" s="1"/>
  <c r="I47"/>
  <c r="H187"/>
  <c r="G189"/>
  <c r="H182"/>
  <c r="H183" s="1"/>
  <c r="H162"/>
  <c r="H163" s="1"/>
  <c r="G169"/>
  <c r="H167"/>
  <c r="H142"/>
  <c r="H143" s="1"/>
  <c r="H147"/>
  <c r="G149"/>
  <c r="G59"/>
  <c r="H57"/>
  <c r="H52"/>
  <c r="H53" s="1"/>
  <c r="I157"/>
  <c r="H159"/>
  <c r="I152"/>
  <c r="I153" s="1"/>
  <c r="H67"/>
  <c r="G69"/>
  <c r="H62"/>
  <c r="H63" s="1"/>
  <c r="H77"/>
  <c r="G79"/>
  <c r="H72"/>
  <c r="H73" s="1"/>
  <c r="H177"/>
  <c r="G179"/>
  <c r="H172"/>
  <c r="H173" s="1"/>
  <c r="H87"/>
  <c r="G89"/>
  <c r="H82"/>
  <c r="H83" s="1"/>
  <c r="H97"/>
  <c r="G99"/>
  <c r="H92"/>
  <c r="H93" s="1"/>
  <c r="H197"/>
  <c r="G199"/>
  <c r="H192"/>
  <c r="H193" s="1"/>
  <c r="I17"/>
  <c r="H19"/>
  <c r="I37"/>
  <c r="H39"/>
  <c r="I32"/>
  <c r="I33" s="1"/>
  <c r="I7"/>
  <c r="H9"/>
  <c r="H117"/>
  <c r="G119"/>
  <c r="H112"/>
  <c r="H113" s="1"/>
  <c r="G27"/>
  <c r="F29"/>
  <c r="G22"/>
  <c r="G23" s="1"/>
  <c r="H137"/>
  <c r="G139"/>
  <c r="H132"/>
  <c r="H133" s="1"/>
  <c r="F39" i="8"/>
  <c r="G39"/>
  <c r="E39"/>
  <c r="D39"/>
  <c r="G142" i="9" l="1"/>
  <c r="G143" s="1"/>
  <c r="F149"/>
  <c r="G147"/>
  <c r="G162"/>
  <c r="G163" s="1"/>
  <c r="F169"/>
  <c r="G167"/>
  <c r="H122"/>
  <c r="H123" s="1"/>
  <c r="H127"/>
  <c r="G129"/>
  <c r="H102"/>
  <c r="H103" s="1"/>
  <c r="G109"/>
  <c r="H107"/>
  <c r="G182"/>
  <c r="G183" s="1"/>
  <c r="F189"/>
  <c r="G187"/>
  <c r="H42"/>
  <c r="H43" s="1"/>
  <c r="G49"/>
  <c r="H47"/>
  <c r="F27"/>
  <c r="E29"/>
  <c r="F22"/>
  <c r="F23" s="1"/>
  <c r="H7"/>
  <c r="G9"/>
  <c r="G197"/>
  <c r="F199"/>
  <c r="G192"/>
  <c r="G193" s="1"/>
  <c r="G177"/>
  <c r="F179"/>
  <c r="G172"/>
  <c r="G173" s="1"/>
  <c r="H37"/>
  <c r="G39"/>
  <c r="H32"/>
  <c r="H33" s="1"/>
  <c r="G97"/>
  <c r="F99"/>
  <c r="G92"/>
  <c r="G93" s="1"/>
  <c r="G77"/>
  <c r="F79"/>
  <c r="G72"/>
  <c r="G73" s="1"/>
  <c r="F69"/>
  <c r="G67"/>
  <c r="G62"/>
  <c r="G63" s="1"/>
  <c r="G117"/>
  <c r="F119"/>
  <c r="G112"/>
  <c r="G113" s="1"/>
  <c r="G137"/>
  <c r="F139"/>
  <c r="G132"/>
  <c r="G133" s="1"/>
  <c r="H17"/>
  <c r="G19"/>
  <c r="F89"/>
  <c r="G87"/>
  <c r="G82"/>
  <c r="G83" s="1"/>
  <c r="G159"/>
  <c r="H157"/>
  <c r="H152"/>
  <c r="H153" s="1"/>
  <c r="G57"/>
  <c r="F59"/>
  <c r="G52"/>
  <c r="G53" s="1"/>
  <c r="F49" l="1"/>
  <c r="G42"/>
  <c r="G43" s="1"/>
  <c r="G47"/>
  <c r="G122"/>
  <c r="G123" s="1"/>
  <c r="F129"/>
  <c r="G127"/>
  <c r="E169"/>
  <c r="F167"/>
  <c r="F162"/>
  <c r="F163" s="1"/>
  <c r="F182"/>
  <c r="F183" s="1"/>
  <c r="E189"/>
  <c r="F187"/>
  <c r="F147"/>
  <c r="E149"/>
  <c r="F142"/>
  <c r="F143" s="1"/>
  <c r="F109"/>
  <c r="G107"/>
  <c r="G102"/>
  <c r="G103" s="1"/>
  <c r="E119"/>
  <c r="F117"/>
  <c r="F112"/>
  <c r="F113" s="1"/>
  <c r="F67"/>
  <c r="E69"/>
  <c r="F62"/>
  <c r="F63" s="1"/>
  <c r="F9"/>
  <c r="G7"/>
  <c r="G37"/>
  <c r="F39"/>
  <c r="G32"/>
  <c r="G33" s="1"/>
  <c r="E27"/>
  <c r="D29"/>
  <c r="E22"/>
  <c r="E23" s="1"/>
  <c r="G17"/>
  <c r="F19"/>
  <c r="F57"/>
  <c r="E59"/>
  <c r="F52"/>
  <c r="F53" s="1"/>
  <c r="G157"/>
  <c r="F159"/>
  <c r="G152"/>
  <c r="G153" s="1"/>
  <c r="F77"/>
  <c r="E79"/>
  <c r="F72"/>
  <c r="F73" s="1"/>
  <c r="E179"/>
  <c r="F177"/>
  <c r="F172"/>
  <c r="F173" s="1"/>
  <c r="F87"/>
  <c r="E89"/>
  <c r="F82"/>
  <c r="F83" s="1"/>
  <c r="E139"/>
  <c r="F137"/>
  <c r="F132"/>
  <c r="F133" s="1"/>
  <c r="F97"/>
  <c r="E99"/>
  <c r="F92"/>
  <c r="F93" s="1"/>
  <c r="E199"/>
  <c r="F197"/>
  <c r="F192"/>
  <c r="F193" s="1"/>
  <c r="D26" i="8"/>
  <c r="D28"/>
  <c r="G26"/>
  <c r="G28"/>
  <c r="E26"/>
  <c r="E28"/>
  <c r="F26"/>
  <c r="F28"/>
  <c r="F127" i="9" l="1"/>
  <c r="F122"/>
  <c r="F123" s="1"/>
  <c r="E129"/>
  <c r="E49"/>
  <c r="F42"/>
  <c r="F43" s="1"/>
  <c r="F47"/>
  <c r="E142"/>
  <c r="E143" s="1"/>
  <c r="D149"/>
  <c r="E147"/>
  <c r="E187"/>
  <c r="E182"/>
  <c r="E183" s="1"/>
  <c r="D189"/>
  <c r="D169"/>
  <c r="E167"/>
  <c r="E162"/>
  <c r="E163" s="1"/>
  <c r="F107"/>
  <c r="F102"/>
  <c r="F103" s="1"/>
  <c r="E109"/>
  <c r="E137"/>
  <c r="D139"/>
  <c r="E132"/>
  <c r="E133" s="1"/>
  <c r="D79"/>
  <c r="E77"/>
  <c r="E72"/>
  <c r="E73" s="1"/>
  <c r="E57"/>
  <c r="D59"/>
  <c r="E52"/>
  <c r="E53" s="1"/>
  <c r="F7"/>
  <c r="E9"/>
  <c r="E67"/>
  <c r="D69"/>
  <c r="E62"/>
  <c r="E63" s="1"/>
  <c r="E117"/>
  <c r="D119"/>
  <c r="E112"/>
  <c r="E113" s="1"/>
  <c r="E197"/>
  <c r="D199"/>
  <c r="E192"/>
  <c r="E193" s="1"/>
  <c r="E19"/>
  <c r="F17"/>
  <c r="E87"/>
  <c r="D89"/>
  <c r="E82"/>
  <c r="E83" s="1"/>
  <c r="E177"/>
  <c r="D179"/>
  <c r="E172"/>
  <c r="E173" s="1"/>
  <c r="C29"/>
  <c r="D27"/>
  <c r="D22"/>
  <c r="D23" s="1"/>
  <c r="D99"/>
  <c r="E97"/>
  <c r="E92"/>
  <c r="E93" s="1"/>
  <c r="F157"/>
  <c r="E159"/>
  <c r="F152"/>
  <c r="F153" s="1"/>
  <c r="E39"/>
  <c r="F37"/>
  <c r="F32"/>
  <c r="F33" s="1"/>
  <c r="D27" i="8"/>
  <c r="E27"/>
  <c r="D31"/>
  <c r="D35" s="1"/>
  <c r="F27"/>
  <c r="E31"/>
  <c r="E35" s="1"/>
  <c r="G27"/>
  <c r="G31"/>
  <c r="G35" s="1"/>
  <c r="F31"/>
  <c r="F35" s="1"/>
  <c r="D162" i="9" l="1"/>
  <c r="D163" s="1"/>
  <c r="C169"/>
  <c r="D167"/>
  <c r="E107"/>
  <c r="E102"/>
  <c r="E103" s="1"/>
  <c r="D109"/>
  <c r="E122"/>
  <c r="E123" s="1"/>
  <c r="D129"/>
  <c r="E127"/>
  <c r="C189"/>
  <c r="D182"/>
  <c r="D183" s="1"/>
  <c r="D187"/>
  <c r="D142"/>
  <c r="D143" s="1"/>
  <c r="D147"/>
  <c r="C149"/>
  <c r="E42"/>
  <c r="E43" s="1"/>
  <c r="D49"/>
  <c r="E47"/>
  <c r="C27"/>
  <c r="C22"/>
  <c r="D117"/>
  <c r="C119"/>
  <c r="D112"/>
  <c r="D113" s="1"/>
  <c r="D67"/>
  <c r="C69"/>
  <c r="D62"/>
  <c r="D63" s="1"/>
  <c r="D177"/>
  <c r="C179"/>
  <c r="D172"/>
  <c r="D173" s="1"/>
  <c r="E7"/>
  <c r="D9"/>
  <c r="E157"/>
  <c r="D159"/>
  <c r="E152"/>
  <c r="E153" s="1"/>
  <c r="D57"/>
  <c r="C59"/>
  <c r="D52"/>
  <c r="D53" s="1"/>
  <c r="D137"/>
  <c r="C139"/>
  <c r="D132"/>
  <c r="D133" s="1"/>
  <c r="E37"/>
  <c r="D39"/>
  <c r="E32"/>
  <c r="E33" s="1"/>
  <c r="D97"/>
  <c r="C99"/>
  <c r="D92"/>
  <c r="D93" s="1"/>
  <c r="D87"/>
  <c r="C89"/>
  <c r="D82"/>
  <c r="D83" s="1"/>
  <c r="E17"/>
  <c r="D19"/>
  <c r="D197"/>
  <c r="C199"/>
  <c r="D192"/>
  <c r="D193" s="1"/>
  <c r="D77"/>
  <c r="C79"/>
  <c r="D72"/>
  <c r="D73" s="1"/>
  <c r="E36" i="8"/>
  <c r="E38"/>
  <c r="G36"/>
  <c r="G38"/>
  <c r="D36"/>
  <c r="D38"/>
  <c r="F36"/>
  <c r="F38"/>
  <c r="D47" i="9" l="1"/>
  <c r="D42"/>
  <c r="D43" s="1"/>
  <c r="C49"/>
  <c r="C187"/>
  <c r="C182"/>
  <c r="D107"/>
  <c r="C109"/>
  <c r="D102"/>
  <c r="D103" s="1"/>
  <c r="C162"/>
  <c r="C167"/>
  <c r="C147"/>
  <c r="C142"/>
  <c r="D122"/>
  <c r="D123" s="1"/>
  <c r="D127"/>
  <c r="C129"/>
  <c r="C77"/>
  <c r="C72"/>
  <c r="D17"/>
  <c r="C19"/>
  <c r="C177"/>
  <c r="C172"/>
  <c r="D7"/>
  <c r="C9"/>
  <c r="C159"/>
  <c r="D157"/>
  <c r="D152"/>
  <c r="D153" s="1"/>
  <c r="C87"/>
  <c r="C82"/>
  <c r="D37"/>
  <c r="C39"/>
  <c r="D32"/>
  <c r="D33" s="1"/>
  <c r="C97"/>
  <c r="C92"/>
  <c r="C137"/>
  <c r="C132"/>
  <c r="C117"/>
  <c r="C112"/>
  <c r="C197"/>
  <c r="C192"/>
  <c r="C57"/>
  <c r="C52"/>
  <c r="C67"/>
  <c r="C62"/>
  <c r="C23"/>
  <c r="C26" s="1"/>
  <c r="G26" s="1"/>
  <c r="C25"/>
  <c r="G25" s="1"/>
  <c r="D37" i="8"/>
  <c r="E37"/>
  <c r="D41"/>
  <c r="D45" s="1"/>
  <c r="F37"/>
  <c r="E41"/>
  <c r="E45" s="1"/>
  <c r="G37"/>
  <c r="F41"/>
  <c r="F45" s="1"/>
  <c r="G41"/>
  <c r="G45" s="1"/>
  <c r="C165" i="9" l="1"/>
  <c r="G165" s="1"/>
  <c r="C163"/>
  <c r="C166" s="1"/>
  <c r="G166" s="1"/>
  <c r="C183"/>
  <c r="C186" s="1"/>
  <c r="G186" s="1"/>
  <c r="C185"/>
  <c r="G185" s="1"/>
  <c r="C122"/>
  <c r="C127"/>
  <c r="C102"/>
  <c r="C107"/>
  <c r="C42"/>
  <c r="C47"/>
  <c r="C145"/>
  <c r="G145" s="1"/>
  <c r="C143"/>
  <c r="C146" s="1"/>
  <c r="G146" s="1"/>
  <c r="C37"/>
  <c r="C32"/>
  <c r="C7"/>
  <c r="D3" i="8" s="1"/>
  <c r="C63" i="9"/>
  <c r="C66" s="1"/>
  <c r="G66" s="1"/>
  <c r="C65"/>
  <c r="G65" s="1"/>
  <c r="C193"/>
  <c r="C196" s="1"/>
  <c r="G196" s="1"/>
  <c r="C195"/>
  <c r="G195" s="1"/>
  <c r="C133"/>
  <c r="C136" s="1"/>
  <c r="G136" s="1"/>
  <c r="C135"/>
  <c r="G135" s="1"/>
  <c r="C73"/>
  <c r="C76" s="1"/>
  <c r="G76" s="1"/>
  <c r="C75"/>
  <c r="G75" s="1"/>
  <c r="C83"/>
  <c r="C86" s="1"/>
  <c r="G86" s="1"/>
  <c r="C85"/>
  <c r="G85" s="1"/>
  <c r="C157"/>
  <c r="C152"/>
  <c r="C173"/>
  <c r="C176" s="1"/>
  <c r="G176" s="1"/>
  <c r="C175"/>
  <c r="G175" s="1"/>
  <c r="C53"/>
  <c r="C56" s="1"/>
  <c r="G56" s="1"/>
  <c r="C55"/>
  <c r="G55" s="1"/>
  <c r="C113"/>
  <c r="C116" s="1"/>
  <c r="G116" s="1"/>
  <c r="C115"/>
  <c r="G115" s="1"/>
  <c r="C93"/>
  <c r="C96" s="1"/>
  <c r="G96" s="1"/>
  <c r="C95"/>
  <c r="G95" s="1"/>
  <c r="C17"/>
  <c r="D13" i="8" s="1"/>
  <c r="C12" i="9" s="1"/>
  <c r="D46" i="8"/>
  <c r="D48"/>
  <c r="G46"/>
  <c r="G48"/>
  <c r="F46"/>
  <c r="F48"/>
  <c r="E46"/>
  <c r="E48"/>
  <c r="Q12" i="9" l="1"/>
  <c r="Q13" s="1"/>
  <c r="AG12"/>
  <c r="AG13" s="1"/>
  <c r="AB12"/>
  <c r="AB13" s="1"/>
  <c r="W12"/>
  <c r="W13" s="1"/>
  <c r="R12"/>
  <c r="R13" s="1"/>
  <c r="AH12"/>
  <c r="AH13" s="1"/>
  <c r="D14" i="8"/>
  <c r="M12" i="9"/>
  <c r="M13" s="1"/>
  <c r="AC12"/>
  <c r="AC13" s="1"/>
  <c r="X12"/>
  <c r="X13" s="1"/>
  <c r="S12"/>
  <c r="N12"/>
  <c r="N13" s="1"/>
  <c r="AD12"/>
  <c r="AD13" s="1"/>
  <c r="Y12"/>
  <c r="Y13" s="1"/>
  <c r="T12"/>
  <c r="T13" s="1"/>
  <c r="O12"/>
  <c r="O13" s="1"/>
  <c r="AE12"/>
  <c r="AE13" s="1"/>
  <c r="Z12"/>
  <c r="Z13" s="1"/>
  <c r="U12"/>
  <c r="U13" s="1"/>
  <c r="P12"/>
  <c r="P13" s="1"/>
  <c r="AF12"/>
  <c r="AF13" s="1"/>
  <c r="AA12"/>
  <c r="V12"/>
  <c r="V13" s="1"/>
  <c r="L12"/>
  <c r="L13" s="1"/>
  <c r="K12"/>
  <c r="J12"/>
  <c r="J13" s="1"/>
  <c r="I12"/>
  <c r="I13" s="1"/>
  <c r="H12"/>
  <c r="H13" s="1"/>
  <c r="G12"/>
  <c r="G13" s="1"/>
  <c r="F12"/>
  <c r="F13" s="1"/>
  <c r="E12"/>
  <c r="E13" s="1"/>
  <c r="D12"/>
  <c r="D13" s="1"/>
  <c r="D4" i="8"/>
  <c r="N2" i="9"/>
  <c r="N3" s="1"/>
  <c r="AD2"/>
  <c r="AD3" s="1"/>
  <c r="U2"/>
  <c r="U3" s="1"/>
  <c r="L2"/>
  <c r="L3" s="1"/>
  <c r="AB2"/>
  <c r="AB3" s="1"/>
  <c r="S2"/>
  <c r="Z2"/>
  <c r="Z3" s="1"/>
  <c r="Q2"/>
  <c r="Q3" s="1"/>
  <c r="AG2"/>
  <c r="AG3" s="1"/>
  <c r="X2"/>
  <c r="X3" s="1"/>
  <c r="O2"/>
  <c r="O3" s="1"/>
  <c r="AE2"/>
  <c r="AE3" s="1"/>
  <c r="V2"/>
  <c r="V3" s="1"/>
  <c r="M2"/>
  <c r="M3" s="1"/>
  <c r="AC2"/>
  <c r="AC3" s="1"/>
  <c r="T2"/>
  <c r="T3" s="1"/>
  <c r="K2"/>
  <c r="AA2"/>
  <c r="R2"/>
  <c r="R3" s="1"/>
  <c r="AH2"/>
  <c r="AH3" s="1"/>
  <c r="Y2"/>
  <c r="Y3" s="1"/>
  <c r="P2"/>
  <c r="P3" s="1"/>
  <c r="AF2"/>
  <c r="AF3" s="1"/>
  <c r="W2"/>
  <c r="W3" s="1"/>
  <c r="J2"/>
  <c r="J3" s="1"/>
  <c r="I2"/>
  <c r="I3" s="1"/>
  <c r="H2"/>
  <c r="H3" s="1"/>
  <c r="G2"/>
  <c r="G3" s="1"/>
  <c r="F2"/>
  <c r="F3" s="1"/>
  <c r="E2"/>
  <c r="E3" s="1"/>
  <c r="D2"/>
  <c r="D3" s="1"/>
  <c r="C2"/>
  <c r="D10" i="8" s="1"/>
  <c r="C45" i="9"/>
  <c r="G45" s="1"/>
  <c r="C43"/>
  <c r="C46" s="1"/>
  <c r="G46" s="1"/>
  <c r="C125"/>
  <c r="G125" s="1"/>
  <c r="C123"/>
  <c r="C126" s="1"/>
  <c r="G126" s="1"/>
  <c r="C105"/>
  <c r="G105" s="1"/>
  <c r="C103"/>
  <c r="C106" s="1"/>
  <c r="G106" s="1"/>
  <c r="C33"/>
  <c r="C36" s="1"/>
  <c r="G36" s="1"/>
  <c r="C35"/>
  <c r="G35" s="1"/>
  <c r="C13"/>
  <c r="C16" s="1"/>
  <c r="G16" s="1"/>
  <c r="C15"/>
  <c r="G15" s="1"/>
  <c r="C153"/>
  <c r="C156" s="1"/>
  <c r="G156" s="1"/>
  <c r="C155"/>
  <c r="G155" s="1"/>
  <c r="C3"/>
  <c r="C6" s="1"/>
  <c r="G6" s="1"/>
  <c r="C5"/>
  <c r="G5" s="1"/>
  <c r="D47" i="8"/>
  <c r="E51"/>
  <c r="E55" s="1"/>
  <c r="F47"/>
  <c r="E47"/>
  <c r="D51"/>
  <c r="D55" s="1"/>
  <c r="G51"/>
  <c r="G55" s="1"/>
  <c r="F51"/>
  <c r="F55" s="1"/>
  <c r="G47"/>
  <c r="D20" l="1"/>
  <c r="K13" i="9"/>
  <c r="K16" s="1"/>
  <c r="O16" s="1"/>
  <c r="K15"/>
  <c r="O15" s="1"/>
  <c r="AA15"/>
  <c r="AE15" s="1"/>
  <c r="AA13"/>
  <c r="AA16" s="1"/>
  <c r="AE16" s="1"/>
  <c r="D19" i="8"/>
  <c r="S15" i="9"/>
  <c r="W15" s="1"/>
  <c r="S13"/>
  <c r="S16" s="1"/>
  <c r="W16" s="1"/>
  <c r="K3"/>
  <c r="K6" s="1"/>
  <c r="O6" s="1"/>
  <c r="K5"/>
  <c r="O5" s="1"/>
  <c r="D9" i="8"/>
  <c r="D8"/>
  <c r="D7" s="1"/>
  <c r="AA5" i="9"/>
  <c r="AE5" s="1"/>
  <c r="AA3"/>
  <c r="AA6" s="1"/>
  <c r="AE6" s="1"/>
  <c r="S5"/>
  <c r="W5" s="1"/>
  <c r="S3"/>
  <c r="S6" s="1"/>
  <c r="W6" s="1"/>
  <c r="G56" i="8"/>
  <c r="G58"/>
  <c r="E56"/>
  <c r="E58"/>
  <c r="F56"/>
  <c r="F58"/>
  <c r="D56"/>
  <c r="D58"/>
  <c r="D57" s="1"/>
  <c r="E19" l="1"/>
  <c r="F19"/>
  <c r="G19"/>
  <c r="G9"/>
  <c r="G8"/>
  <c r="E8"/>
  <c r="E9"/>
  <c r="F9"/>
  <c r="F8"/>
  <c r="G61"/>
  <c r="G65" s="1"/>
  <c r="G57"/>
  <c r="F61"/>
  <c r="F65" s="1"/>
  <c r="F57"/>
  <c r="E61"/>
  <c r="E65" s="1"/>
  <c r="D61"/>
  <c r="D65" s="1"/>
  <c r="E57"/>
  <c r="F7" l="1"/>
  <c r="E11"/>
  <c r="E15" s="1"/>
  <c r="F11"/>
  <c r="F15" s="1"/>
  <c r="G11"/>
  <c r="G15" s="1"/>
  <c r="G7"/>
  <c r="E7"/>
  <c r="D11"/>
  <c r="D15" s="1"/>
  <c r="E66"/>
  <c r="E68"/>
  <c r="G66"/>
  <c r="G68"/>
  <c r="D66"/>
  <c r="D68"/>
  <c r="F66"/>
  <c r="F68"/>
  <c r="E16" l="1"/>
  <c r="E18"/>
  <c r="D16"/>
  <c r="D18"/>
  <c r="F16"/>
  <c r="F18"/>
  <c r="G16"/>
  <c r="G18"/>
  <c r="E67"/>
  <c r="D71"/>
  <c r="D75" s="1"/>
  <c r="D67"/>
  <c r="F67"/>
  <c r="E71"/>
  <c r="E75" s="1"/>
  <c r="G67"/>
  <c r="G71"/>
  <c r="G75" s="1"/>
  <c r="F71"/>
  <c r="F75" s="1"/>
  <c r="D17" l="1"/>
  <c r="E21"/>
  <c r="E25" s="1"/>
  <c r="F17"/>
  <c r="D21"/>
  <c r="D25" s="1"/>
  <c r="E17"/>
  <c r="F21"/>
  <c r="F25" s="1"/>
  <c r="G17"/>
  <c r="G21"/>
  <c r="G25" s="1"/>
  <c r="E76"/>
  <c r="E78"/>
  <c r="D76"/>
  <c r="D78"/>
  <c r="G76"/>
  <c r="G78"/>
  <c r="F76"/>
  <c r="F78"/>
  <c r="D77" l="1"/>
  <c r="E77"/>
  <c r="D81"/>
  <c r="D85" s="1"/>
  <c r="F81"/>
  <c r="F85" s="1"/>
  <c r="G81"/>
  <c r="G85" s="1"/>
  <c r="G77"/>
  <c r="F77"/>
  <c r="E81"/>
  <c r="E85" s="1"/>
  <c r="G86" l="1"/>
  <c r="G88"/>
  <c r="D86"/>
  <c r="D88"/>
  <c r="E86"/>
  <c r="E88"/>
  <c r="F86"/>
  <c r="F88"/>
  <c r="G87" l="1"/>
  <c r="G91"/>
  <c r="G95" s="1"/>
  <c r="F91"/>
  <c r="F95" s="1"/>
  <c r="E87"/>
  <c r="D91"/>
  <c r="D95" s="1"/>
  <c r="F87"/>
  <c r="E91"/>
  <c r="E95" s="1"/>
  <c r="D87"/>
  <c r="D96" l="1"/>
  <c r="D98"/>
  <c r="G96"/>
  <c r="G98"/>
  <c r="E96"/>
  <c r="E98"/>
  <c r="F96"/>
  <c r="F98"/>
  <c r="D97" l="1"/>
  <c r="D101"/>
  <c r="D105" s="1"/>
  <c r="E97"/>
  <c r="F97"/>
  <c r="E101"/>
  <c r="E105" s="1"/>
  <c r="F101"/>
  <c r="F105" s="1"/>
  <c r="G101"/>
  <c r="G105" s="1"/>
  <c r="G97"/>
  <c r="F106" l="1"/>
  <c r="F108"/>
  <c r="D106"/>
  <c r="D108"/>
  <c r="E106"/>
  <c r="E108"/>
  <c r="G106"/>
  <c r="G108"/>
  <c r="E107" l="1"/>
  <c r="D111"/>
  <c r="D115" s="1"/>
  <c r="E111"/>
  <c r="E115" s="1"/>
  <c r="F107"/>
  <c r="G107"/>
  <c r="G111"/>
  <c r="G115" s="1"/>
  <c r="F111"/>
  <c r="F115" s="1"/>
  <c r="D107"/>
  <c r="D116" l="1"/>
  <c r="D118"/>
  <c r="F116"/>
  <c r="F118"/>
  <c r="G116"/>
  <c r="G118"/>
  <c r="E116"/>
  <c r="E118"/>
  <c r="D117" l="1"/>
  <c r="F121"/>
  <c r="F125" s="1"/>
  <c r="G121"/>
  <c r="G125" s="1"/>
  <c r="G117"/>
  <c r="E117"/>
  <c r="D121"/>
  <c r="D125" s="1"/>
  <c r="F117"/>
  <c r="E121"/>
  <c r="E125" s="1"/>
</calcChain>
</file>

<file path=xl/sharedStrings.xml><?xml version="1.0" encoding="utf-8"?>
<sst xmlns="http://schemas.openxmlformats.org/spreadsheetml/2006/main" count="209" uniqueCount="18">
  <si>
    <t>Subnet Mask</t>
  </si>
  <si>
    <t>Subnet Mask in Binary</t>
  </si>
  <si>
    <t>First Octet</t>
  </si>
  <si>
    <t>Second Octet</t>
  </si>
  <si>
    <t>Third Octet</t>
  </si>
  <si>
    <t>Fourth Octet</t>
  </si>
  <si>
    <t># of Hosts Needed</t>
  </si>
  <si>
    <t>Broadcast IP</t>
  </si>
  <si>
    <t>Subnet Annotation</t>
  </si>
  <si>
    <t>Total Ips Created</t>
  </si>
  <si>
    <t>First Host IP</t>
  </si>
  <si>
    <t>Last Host IP</t>
  </si>
  <si>
    <t>Next Network</t>
  </si>
  <si>
    <t>YELLOW = Subnet Bits</t>
  </si>
  <si>
    <t>LIGHT GREEN = Host Bits</t>
  </si>
  <si>
    <t>Network ID</t>
  </si>
  <si>
    <t>Usable Ips Created</t>
  </si>
  <si>
    <t>Hosts Needed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</si>
</sst>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6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/>
      <right style="double">
        <color theme="0"/>
      </right>
      <top/>
      <bottom/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 style="thin">
        <color theme="0"/>
      </right>
      <top style="double">
        <color theme="0"/>
      </top>
      <bottom/>
      <diagonal/>
    </border>
    <border>
      <left style="double">
        <color theme="0"/>
      </left>
      <right style="thin">
        <color theme="0"/>
      </right>
      <top/>
      <bottom/>
      <diagonal/>
    </border>
    <border>
      <left style="double">
        <color theme="0"/>
      </left>
      <right style="thin">
        <color theme="0"/>
      </right>
      <top/>
      <bottom style="double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2" fillId="4" borderId="0" xfId="0" applyFont="1" applyFill="1"/>
    <xf numFmtId="0" fontId="3" fillId="4" borderId="0" xfId="0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vertical="center" wrapText="1"/>
    </xf>
    <xf numFmtId="0" fontId="2" fillId="4" borderId="5" xfId="0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center" vertical="center"/>
    </xf>
    <xf numFmtId="0" fontId="2" fillId="4" borderId="6" xfId="0" applyFont="1" applyFill="1" applyBorder="1" applyAlignment="1" applyProtection="1">
      <alignment horizontal="center" vertical="center"/>
    </xf>
    <xf numFmtId="0" fontId="2" fillId="4" borderId="0" xfId="0" applyFont="1" applyFill="1" applyProtection="1"/>
    <xf numFmtId="0" fontId="0" fillId="3" borderId="11" xfId="0" applyFont="1" applyFill="1" applyBorder="1" applyAlignment="1" applyProtection="1">
      <alignment horizontal="center" vertical="center"/>
    </xf>
    <xf numFmtId="0" fontId="0" fillId="3" borderId="10" xfId="0" applyFont="1" applyFill="1" applyBorder="1" applyAlignment="1" applyProtection="1">
      <alignment horizontal="center" vertical="center"/>
    </xf>
    <xf numFmtId="0" fontId="0" fillId="3" borderId="12" xfId="0" applyFont="1" applyFill="1" applyBorder="1" applyAlignment="1" applyProtection="1">
      <alignment horizontal="center" vertical="center"/>
    </xf>
    <xf numFmtId="0" fontId="2" fillId="5" borderId="4" xfId="0" applyFont="1" applyFill="1" applyBorder="1" applyAlignment="1" applyProtection="1">
      <alignment horizontal="right" vertical="center" indent="1"/>
    </xf>
    <xf numFmtId="0" fontId="2" fillId="5" borderId="1" xfId="0" applyFont="1" applyFill="1" applyBorder="1" applyAlignment="1" applyProtection="1">
      <alignment horizontal="right" vertical="center" indent="1"/>
    </xf>
    <xf numFmtId="0" fontId="0" fillId="4" borderId="0" xfId="0" applyFill="1"/>
    <xf numFmtId="0" fontId="2" fillId="4" borderId="0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left" vertical="center" indent="1"/>
    </xf>
    <xf numFmtId="0" fontId="1" fillId="8" borderId="0" xfId="0" applyFont="1" applyFill="1" applyBorder="1" applyAlignment="1">
      <alignment horizontal="left" vertical="center" indent="1"/>
    </xf>
    <xf numFmtId="0" fontId="1" fillId="10" borderId="0" xfId="0" applyFont="1" applyFill="1" applyBorder="1" applyAlignment="1">
      <alignment horizontal="left" vertical="center" indent="1"/>
    </xf>
    <xf numFmtId="0" fontId="1" fillId="9" borderId="0" xfId="0" applyFont="1" applyFill="1" applyBorder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 indent="1"/>
    </xf>
    <xf numFmtId="0" fontId="1" fillId="10" borderId="0" xfId="0" applyFont="1" applyFill="1" applyBorder="1" applyAlignment="1">
      <alignment horizontal="center" vertical="center"/>
    </xf>
    <xf numFmtId="0" fontId="1" fillId="10" borderId="15" xfId="0" applyFont="1" applyFill="1" applyBorder="1" applyAlignment="1">
      <alignment horizontal="center" vertical="center"/>
    </xf>
    <xf numFmtId="0" fontId="1" fillId="2" borderId="0" xfId="0" applyFont="1" applyFill="1" applyBorder="1" applyAlignment="1" applyProtection="1">
      <alignment horizontal="center" vertical="center"/>
      <protection locked="0"/>
    </xf>
    <xf numFmtId="0" fontId="1" fillId="2" borderId="15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9" borderId="0" xfId="0" applyFont="1" applyFill="1" applyBorder="1" applyAlignment="1" applyProtection="1">
      <alignment horizontal="center" vertical="center"/>
    </xf>
    <xf numFmtId="0" fontId="1" fillId="9" borderId="15" xfId="0" applyFont="1" applyFill="1" applyBorder="1" applyAlignment="1" applyProtection="1">
      <alignment horizontal="center" vertical="center"/>
    </xf>
    <xf numFmtId="0" fontId="1" fillId="5" borderId="16" xfId="0" applyFont="1" applyFill="1" applyBorder="1" applyAlignment="1">
      <alignment horizontal="left" vertical="center" indent="1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 textRotation="90" wrapText="1"/>
    </xf>
    <xf numFmtId="0" fontId="6" fillId="6" borderId="19" xfId="0" applyFont="1" applyFill="1" applyBorder="1" applyAlignment="1">
      <alignment horizontal="center" vertical="center" textRotation="90" wrapText="1"/>
    </xf>
    <xf numFmtId="0" fontId="6" fillId="6" borderId="20" xfId="0" applyFont="1" applyFill="1" applyBorder="1" applyAlignment="1">
      <alignment horizontal="center" vertical="center" textRotation="90" wrapText="1"/>
    </xf>
    <xf numFmtId="3" fontId="1" fillId="3" borderId="13" xfId="0" applyNumberFormat="1" applyFont="1" applyFill="1" applyBorder="1" applyAlignment="1" applyProtection="1">
      <alignment horizontal="left" vertical="center" indent="1"/>
      <protection locked="0"/>
    </xf>
    <xf numFmtId="3" fontId="1" fillId="3" borderId="14" xfId="0" applyNumberFormat="1" applyFont="1" applyFill="1" applyBorder="1" applyAlignment="1" applyProtection="1">
      <alignment horizontal="left" vertical="center" indent="1"/>
      <protection locked="0"/>
    </xf>
    <xf numFmtId="3" fontId="1" fillId="8" borderId="0" xfId="0" applyNumberFormat="1" applyFont="1" applyFill="1" applyBorder="1" applyAlignment="1">
      <alignment horizontal="left" vertical="center" indent="1"/>
    </xf>
    <xf numFmtId="3" fontId="1" fillId="8" borderId="15" xfId="0" applyNumberFormat="1" applyFont="1" applyFill="1" applyBorder="1" applyAlignment="1">
      <alignment horizontal="left" vertical="center" indent="1"/>
    </xf>
    <xf numFmtId="0" fontId="4" fillId="7" borderId="2" xfId="0" applyFont="1" applyFill="1" applyBorder="1" applyAlignment="1" applyProtection="1">
      <alignment horizontal="center" vertical="center"/>
    </xf>
    <xf numFmtId="0" fontId="4" fillId="7" borderId="3" xfId="0" applyFont="1" applyFill="1" applyBorder="1" applyAlignment="1" applyProtection="1">
      <alignment horizontal="center" vertical="center"/>
    </xf>
    <xf numFmtId="0" fontId="2" fillId="4" borderId="7" xfId="0" applyFont="1" applyFill="1" applyBorder="1" applyAlignment="1" applyProtection="1">
      <alignment horizontal="left" vertical="center" indent="1"/>
    </xf>
    <xf numFmtId="0" fontId="2" fillId="4" borderId="0" xfId="0" applyFont="1" applyFill="1" applyAlignment="1" applyProtection="1">
      <alignment horizontal="left" vertical="center" indent="1"/>
    </xf>
    <xf numFmtId="0" fontId="5" fillId="6" borderId="1" xfId="0" applyFont="1" applyFill="1" applyBorder="1" applyAlignment="1" applyProtection="1">
      <alignment horizontal="center" vertical="center" wrapText="1"/>
    </xf>
    <xf numFmtId="0" fontId="5" fillId="6" borderId="2" xfId="0" applyFont="1" applyFill="1" applyBorder="1" applyAlignment="1" applyProtection="1">
      <alignment horizontal="center" vertical="center" wrapText="1"/>
    </xf>
    <xf numFmtId="0" fontId="5" fillId="6" borderId="3" xfId="0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/>
    </xf>
    <xf numFmtId="0" fontId="0" fillId="3" borderId="7" xfId="0" applyFont="1" applyFill="1" applyBorder="1" applyAlignment="1" applyProtection="1">
      <alignment horizontal="center"/>
    </xf>
    <xf numFmtId="0" fontId="0" fillId="3" borderId="9" xfId="0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/>
    <xf numFmtId="0" fontId="8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shrinkToFit="1"/>
    </xf>
    <xf numFmtId="0" fontId="11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center" vertical="center"/>
    </xf>
    <xf numFmtId="0" fontId="9" fillId="0" borderId="22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10" fillId="0" borderId="21" xfId="0" applyFont="1" applyFill="1" applyBorder="1" applyAlignment="1">
      <alignment horizontal="center" vertical="center" shrinkToFit="1"/>
    </xf>
    <xf numFmtId="0" fontId="10" fillId="0" borderId="22" xfId="0" applyFont="1" applyFill="1" applyBorder="1" applyAlignment="1">
      <alignment horizontal="center" vertical="center" shrinkToFit="1"/>
    </xf>
    <xf numFmtId="0" fontId="11" fillId="0" borderId="21" xfId="0" applyFont="1" applyFill="1" applyBorder="1" applyAlignment="1">
      <alignment horizontal="center" vertical="center"/>
    </xf>
    <xf numFmtId="0" fontId="11" fillId="0" borderId="22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0" borderId="23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 shrinkToFit="1"/>
    </xf>
    <xf numFmtId="0" fontId="11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 shrinkToFit="1"/>
    </xf>
    <xf numFmtId="0" fontId="11" fillId="0" borderId="5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9" fillId="0" borderId="27" xfId="0" applyFont="1" applyFill="1" applyBorder="1" applyAlignment="1">
      <alignment horizontal="center" vertical="center" textRotation="90" wrapText="1"/>
    </xf>
    <xf numFmtId="0" fontId="9" fillId="0" borderId="28" xfId="0" applyFont="1" applyFill="1" applyBorder="1" applyAlignment="1">
      <alignment horizontal="center" vertical="center" textRotation="90" wrapText="1"/>
    </xf>
    <xf numFmtId="0" fontId="9" fillId="0" borderId="29" xfId="0" applyFont="1" applyFill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3.xml" Id="rId3" /><Relationship Type="http://schemas.openxmlformats.org/officeDocument/2006/relationships/calcChain" Target="calcChain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6" /><Relationship Type="http://schemas.openxmlformats.org/officeDocument/2006/relationships/styles" Target="styles.xml" Id="rId5" /><Relationship Type="http://schemas.openxmlformats.org/officeDocument/2006/relationships/customXml" Target="../customXml/item3.xml" Id="rId10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1"/>
  </sheetPr>
  <dimension ref="A1:AP203"/>
  <sheetViews>
    <sheetView tabSelected="1" workbookViewId="0">
      <selection activeCell="D2" sqref="D2:G2"/>
    </sheetView>
  </sheetViews>
  <sheetFormatPr defaultColWidth="0" defaultRowHeight="15" zeroHeight="1"/>
  <cols>
    <col min="1" max="1" width="3" customWidth="1"/>
    <col min="2" max="2" width="13.42578125" customWidth="1"/>
    <col min="3" max="3" width="19.28515625" bestFit="1" customWidth="1"/>
    <col min="4" max="7" width="4.7109375" customWidth="1"/>
    <col min="8" max="8" width="3" customWidth="1"/>
    <col min="9" max="40" width="4.7109375" hidden="1"/>
    <col min="41" max="41" width="3" hidden="1"/>
    <col min="42" max="42" width="2.85546875" hidden="1"/>
    <col min="43" max="16384" width="9.140625" hidden="1"/>
  </cols>
  <sheetData>
    <row r="1" spans="1:8" ht="15.75" thickBot="1">
      <c r="A1" s="14"/>
      <c r="B1" s="14"/>
      <c r="C1" s="14"/>
      <c r="D1" s="14"/>
      <c r="E1" s="14"/>
      <c r="F1" s="14"/>
      <c r="G1" s="14"/>
      <c r="H1" s="14"/>
    </row>
    <row r="2" spans="1:8" ht="15.75" thickTop="1">
      <c r="A2" s="14"/>
      <c r="B2" s="33" t="str">
        <f>CONCATENATE(Calculations!G10,CHAR(10),"Network")</f>
        <v>1st
Network</v>
      </c>
      <c r="C2" s="15" t="s">
        <v>6</v>
      </c>
      <c r="D2" s="36"/>
      <c r="E2" s="36"/>
      <c r="F2" s="36"/>
      <c r="G2" s="37"/>
      <c r="H2" s="14"/>
    </row>
    <row r="3" spans="1:8">
      <c r="A3" s="14"/>
      <c r="B3" s="34"/>
      <c r="C3" s="16" t="s">
        <v>9</v>
      </c>
      <c r="D3" s="38" t="str">
        <f>IF(Calculations!C11="","",IFERROR(HLOOKUP(D2+2,Calculations!C9:AH9,1,FALSE),HLOOKUP(TRUE,Calculations!C7:AH9,3,FALSE)))</f>
        <v/>
      </c>
      <c r="E3" s="38"/>
      <c r="F3" s="38"/>
      <c r="G3" s="39"/>
      <c r="H3" s="14"/>
    </row>
    <row r="4" spans="1:8">
      <c r="A4" s="14"/>
      <c r="B4" s="34"/>
      <c r="C4" s="16" t="s">
        <v>16</v>
      </c>
      <c r="D4" s="38" t="str">
        <f>IF(Calculations!C11="","",D3-2)</f>
        <v/>
      </c>
      <c r="E4" s="38"/>
      <c r="F4" s="38"/>
      <c r="G4" s="39"/>
      <c r="H4" s="14"/>
    </row>
    <row r="5" spans="1:8">
      <c r="A5" s="14"/>
      <c r="B5" s="34"/>
      <c r="C5" s="19" t="s">
        <v>15</v>
      </c>
      <c r="D5" s="22">
        <v>10</v>
      </c>
      <c r="E5" s="22">
        <v>0</v>
      </c>
      <c r="F5" s="22">
        <v>0</v>
      </c>
      <c r="G5" s="23">
        <v>0</v>
      </c>
      <c r="H5" s="14"/>
    </row>
    <row r="6" spans="1:8">
      <c r="A6" s="14"/>
      <c r="B6" s="34"/>
      <c r="C6" s="17" t="s">
        <v>10</v>
      </c>
      <c r="D6" s="20" t="str">
        <f>IF(Calculations!C11="","",D5)</f>
        <v/>
      </c>
      <c r="E6" s="20" t="str">
        <f>IF(Calculations!C11="","",E5)</f>
        <v/>
      </c>
      <c r="F6" s="20" t="str">
        <f>IF(Calculations!C11="","",F5)</f>
        <v/>
      </c>
      <c r="G6" s="21" t="str">
        <f>IF(Calculations!C11="","",G5+1)</f>
        <v/>
      </c>
      <c r="H6" s="14"/>
    </row>
    <row r="7" spans="1:8">
      <c r="A7" s="14"/>
      <c r="B7" s="34"/>
      <c r="C7" s="17" t="s">
        <v>11</v>
      </c>
      <c r="D7" s="20" t="str">
        <f>IF(Calculations!C11="","",IF(D8=D6,D8,D8-D6))</f>
        <v/>
      </c>
      <c r="E7" s="20" t="str">
        <f>IF(Calculations!C11="","",IF(E8=E6,E8,E8-E6))</f>
        <v/>
      </c>
      <c r="F7" s="20" t="str">
        <f>IF(Calculations!C11="","",IF(F8=F6,F8,F8-F6))</f>
        <v/>
      </c>
      <c r="G7" s="21" t="str">
        <f>IF(Calculations!C11="","",IF(G8=G6,G8,G8-1))</f>
        <v/>
      </c>
      <c r="H7" s="14"/>
    </row>
    <row r="8" spans="1:8">
      <c r="A8" s="14"/>
      <c r="B8" s="34"/>
      <c r="C8" s="19" t="s">
        <v>7</v>
      </c>
      <c r="D8" s="24" t="str">
        <f>IF(Calculations!C11="","",IF(Calculations!G5=255,D5,D5+Calculations!G6))</f>
        <v/>
      </c>
      <c r="E8" s="24" t="str">
        <f>IF(Calculations!C11="","",IF(Calculations!O5=255,E5,E5+Calculations!O6))</f>
        <v/>
      </c>
      <c r="F8" s="24" t="str">
        <f>IF(Calculations!C11="","",IF(Calculations!W5=255,F5,F5+Calculations!W6))</f>
        <v/>
      </c>
      <c r="G8" s="25" t="str">
        <f>IF(Calculations!C11="","",IF(Calculations!AE5=255,G5,G5+Calculations!AE6))</f>
        <v/>
      </c>
      <c r="H8" s="14"/>
    </row>
    <row r="9" spans="1:8">
      <c r="A9" s="14"/>
      <c r="B9" s="34"/>
      <c r="C9" s="18" t="s">
        <v>0</v>
      </c>
      <c r="D9" s="28" t="str">
        <f>IF(Calculations!C11="","",Calculations!G5)</f>
        <v/>
      </c>
      <c r="E9" s="28" t="str">
        <f>IF(Calculations!C11="","",Calculations!O5)</f>
        <v/>
      </c>
      <c r="F9" s="28" t="str">
        <f>IF(Calculations!C11="","",Calculations!W5)</f>
        <v/>
      </c>
      <c r="G9" s="29" t="str">
        <f>IF(Calculations!C11="","",Calculations!AE5)</f>
        <v/>
      </c>
      <c r="H9" s="14"/>
    </row>
    <row r="10" spans="1:8">
      <c r="A10" s="14"/>
      <c r="B10" s="34"/>
      <c r="C10" s="18" t="s">
        <v>8</v>
      </c>
      <c r="D10" s="18" t="str">
        <f>IF(Calculations!C11="","",CONCATENATE("\",COUNTIF(Calculations!C2:AH2,1)))</f>
        <v/>
      </c>
      <c r="E10" s="26"/>
      <c r="F10" s="26"/>
      <c r="G10" s="27"/>
      <c r="H10" s="14"/>
    </row>
    <row r="11" spans="1:8" ht="15.75" thickBot="1">
      <c r="A11" s="14"/>
      <c r="B11" s="35"/>
      <c r="C11" s="30" t="s">
        <v>12</v>
      </c>
      <c r="D11" s="31" t="str">
        <f>IF(Calculations!C11="","",IF(E8&gt;254,D8+1,IF(D8=D6,D6,D6+Calculations!G6)))</f>
        <v/>
      </c>
      <c r="E11" s="31" t="str">
        <f>IF(Calculations!C11="","",IF(F8&gt;254,E8+1,IF(E8=E6,E6,E6+Calculations!O6)))</f>
        <v/>
      </c>
      <c r="F11" s="31" t="str">
        <f>IF(Calculations!C11="","",IF(G8&gt;254,F8+1,IF(F8=F6,F6,F6+Calculations!W6)))</f>
        <v/>
      </c>
      <c r="G11" s="32" t="str">
        <f>IF(Calculations!C11="","",IF(G8+1&gt;255,0,G8+1))</f>
        <v/>
      </c>
      <c r="H11" s="14"/>
    </row>
    <row r="12" spans="1:8" ht="15.75" thickTop="1">
      <c r="A12" s="14"/>
      <c r="B12" s="33" t="str">
        <f>CONCATENATE(Calculations!G20,CHAR(10),"Network")</f>
        <v>2nd
Network</v>
      </c>
      <c r="C12" s="15" t="s">
        <v>6</v>
      </c>
      <c r="D12" s="36"/>
      <c r="E12" s="36"/>
      <c r="F12" s="36"/>
      <c r="G12" s="37"/>
      <c r="H12" s="14"/>
    </row>
    <row r="13" spans="1:8">
      <c r="A13" s="14"/>
      <c r="B13" s="34"/>
      <c r="C13" s="16" t="s">
        <v>9</v>
      </c>
      <c r="D13" s="38" t="str">
        <f>IF(Calculations!C21="","",IFERROR(HLOOKUP(D12+2,Calculations!C19:AH19,1,FALSE),HLOOKUP(TRUE,Calculations!C17:AH19,3,FALSE)))</f>
        <v/>
      </c>
      <c r="E13" s="38"/>
      <c r="F13" s="38"/>
      <c r="G13" s="39"/>
      <c r="H13" s="14"/>
    </row>
    <row r="14" spans="1:8">
      <c r="A14" s="14"/>
      <c r="B14" s="34"/>
      <c r="C14" s="16" t="s">
        <v>16</v>
      </c>
      <c r="D14" s="38" t="str">
        <f>IF(Calculations!C21="","",D13-2)</f>
        <v/>
      </c>
      <c r="E14" s="38"/>
      <c r="F14" s="38"/>
      <c r="G14" s="39"/>
      <c r="H14" s="14"/>
    </row>
    <row r="15" spans="1:8">
      <c r="A15" s="14"/>
      <c r="B15" s="34"/>
      <c r="C15" s="19" t="s">
        <v>15</v>
      </c>
      <c r="D15" s="24" t="str">
        <f>IF(OR(D12="",D11=""),"",D11)</f>
        <v/>
      </c>
      <c r="E15" s="24" t="str">
        <f>IF(OR(D12="",E11=""),"",E11)</f>
        <v/>
      </c>
      <c r="F15" s="24" t="str">
        <f>IF(OR(D12="",F11=""),"",F11)</f>
        <v/>
      </c>
      <c r="G15" s="25" t="str">
        <f>IF(OR(D12="",G11=""),"",G11)</f>
        <v/>
      </c>
      <c r="H15" s="14"/>
    </row>
    <row r="16" spans="1:8">
      <c r="A16" s="14"/>
      <c r="B16" s="34"/>
      <c r="C16" s="17" t="s">
        <v>10</v>
      </c>
      <c r="D16" s="20" t="str">
        <f>IF(Calculations!C21="","",D15)</f>
        <v/>
      </c>
      <c r="E16" s="20" t="str">
        <f>IF(Calculations!C21="","",E15)</f>
        <v/>
      </c>
      <c r="F16" s="20" t="str">
        <f>IF(Calculations!C21="","",F15)</f>
        <v/>
      </c>
      <c r="G16" s="21" t="str">
        <f>IF(Calculations!C21="","",G15+1)</f>
        <v/>
      </c>
      <c r="H16" s="14"/>
    </row>
    <row r="17" spans="1:8">
      <c r="A17" s="14"/>
      <c r="B17" s="34"/>
      <c r="C17" s="17" t="s">
        <v>11</v>
      </c>
      <c r="D17" s="20" t="str">
        <f>IF(Calculations!C21="","",IF(D18=D16,D18,D18-D16))</f>
        <v/>
      </c>
      <c r="E17" s="20" t="str">
        <f>IF(Calculations!C21="","",IF(E18=E16,E18,E18-E16))</f>
        <v/>
      </c>
      <c r="F17" s="20" t="str">
        <f>IF(Calculations!C21="","",IF(F18=F16,F18,F18-F16))</f>
        <v/>
      </c>
      <c r="G17" s="21" t="str">
        <f>IF(Calculations!C21="","",IF(G18=G16,G18,G18-1))</f>
        <v/>
      </c>
      <c r="H17" s="14"/>
    </row>
    <row r="18" spans="1:8">
      <c r="A18" s="14"/>
      <c r="B18" s="34"/>
      <c r="C18" s="19" t="s">
        <v>7</v>
      </c>
      <c r="D18" s="24" t="str">
        <f>IF(Calculations!C21="","",IF(Calculations!G15=255,D15,D15+Calculations!G16))</f>
        <v/>
      </c>
      <c r="E18" s="24" t="str">
        <f>IF(Calculations!C21="","",IF(Calculations!O15=255,E15,E15+Calculations!O16))</f>
        <v/>
      </c>
      <c r="F18" s="24" t="str">
        <f>IF(Calculations!C21="","",IF(Calculations!W15=255,F15,F15+Calculations!W16))</f>
        <v/>
      </c>
      <c r="G18" s="25" t="str">
        <f>IF(Calculations!C21="","",IF(Calculations!AE15=255,G15,G15+Calculations!AE16))</f>
        <v/>
      </c>
      <c r="H18" s="14"/>
    </row>
    <row r="19" spans="1:8">
      <c r="A19" s="14"/>
      <c r="B19" s="34"/>
      <c r="C19" s="18" t="s">
        <v>0</v>
      </c>
      <c r="D19" s="28" t="str">
        <f>IF(Calculations!C21="","",Calculations!G15)</f>
        <v/>
      </c>
      <c r="E19" s="28" t="str">
        <f>IF(Calculations!C21="","",Calculations!O15)</f>
        <v/>
      </c>
      <c r="F19" s="28" t="str">
        <f>IF(Calculations!C21="","",Calculations!W15)</f>
        <v/>
      </c>
      <c r="G19" s="29" t="str">
        <f>IF(Calculations!C21="","",Calculations!AE15)</f>
        <v/>
      </c>
      <c r="H19" s="14"/>
    </row>
    <row r="20" spans="1:8">
      <c r="A20" s="14"/>
      <c r="B20" s="34"/>
      <c r="C20" s="18" t="s">
        <v>8</v>
      </c>
      <c r="D20" s="26" t="str">
        <f>IF(Calculations!C21="","",CONCATENATE("\",COUNTIF(Calculations!C12:AH12,1)))</f>
        <v/>
      </c>
      <c r="E20" s="26"/>
      <c r="F20" s="26"/>
      <c r="G20" s="27"/>
      <c r="H20" s="14"/>
    </row>
    <row r="21" spans="1:8" ht="15.75" thickBot="1">
      <c r="A21" s="14"/>
      <c r="B21" s="35"/>
      <c r="C21" s="30" t="s">
        <v>12</v>
      </c>
      <c r="D21" s="31" t="str">
        <f>IF(Calculations!C21="","",IF(E18&gt;254,D18+1,IF(D18=D16,D16,D16+Calculations!G16)))</f>
        <v/>
      </c>
      <c r="E21" s="31" t="str">
        <f>IF(Calculations!C21="","",IF(F18&gt;254,E18+1,IF(E18=E16,E16,E16+Calculations!O16)))</f>
        <v/>
      </c>
      <c r="F21" s="31" t="str">
        <f>IF(Calculations!C21="","",IF(G18&gt;254,F18+1,IF(F18=F16,F16,F16+Calculations!W16)))</f>
        <v/>
      </c>
      <c r="G21" s="32" t="str">
        <f>IF(Calculations!C21="","",IF(G18+1&gt;255,0,G18+1))</f>
        <v/>
      </c>
      <c r="H21" s="14"/>
    </row>
    <row r="22" spans="1:8" ht="15.75" thickTop="1">
      <c r="A22" s="14"/>
      <c r="B22" s="33" t="str">
        <f>CONCATENATE(Calculations!G30,CHAR(10),"Network")</f>
        <v>3rd
Network</v>
      </c>
      <c r="C22" s="15" t="s">
        <v>6</v>
      </c>
      <c r="D22" s="36"/>
      <c r="E22" s="36"/>
      <c r="F22" s="36"/>
      <c r="G22" s="37"/>
      <c r="H22" s="14"/>
    </row>
    <row r="23" spans="1:8">
      <c r="A23" s="14"/>
      <c r="B23" s="34"/>
      <c r="C23" s="16" t="s">
        <v>9</v>
      </c>
      <c r="D23" s="38" t="str">
        <f>IF(Calculations!C31="","",IFERROR(HLOOKUP(D22+2,Calculations!C29:AH29,1,FALSE),HLOOKUP(TRUE,Calculations!C27:AH29,3,FALSE)))</f>
        <v/>
      </c>
      <c r="E23" s="38"/>
      <c r="F23" s="38"/>
      <c r="G23" s="39"/>
      <c r="H23" s="14"/>
    </row>
    <row r="24" spans="1:8">
      <c r="A24" s="14"/>
      <c r="B24" s="34"/>
      <c r="C24" s="16" t="s">
        <v>16</v>
      </c>
      <c r="D24" s="38" t="str">
        <f>IF(Calculations!C31="","",D23-2)</f>
        <v/>
      </c>
      <c r="E24" s="38"/>
      <c r="F24" s="38"/>
      <c r="G24" s="39"/>
      <c r="H24" s="14"/>
    </row>
    <row r="25" spans="1:8">
      <c r="A25" s="14"/>
      <c r="B25" s="34"/>
      <c r="C25" s="19" t="s">
        <v>15</v>
      </c>
      <c r="D25" s="24" t="str">
        <f>IF(OR(D22="",D21=""),"",D21)</f>
        <v/>
      </c>
      <c r="E25" s="24" t="str">
        <f>IF(OR(D22="",E21=""),"",E21)</f>
        <v/>
      </c>
      <c r="F25" s="24" t="str">
        <f>IF(OR(D22="",F21=""),"",F21)</f>
        <v/>
      </c>
      <c r="G25" s="25" t="str">
        <f>IF(OR(D22="",G21=""),"",G21)</f>
        <v/>
      </c>
      <c r="H25" s="14"/>
    </row>
    <row r="26" spans="1:8">
      <c r="A26" s="14"/>
      <c r="B26" s="34"/>
      <c r="C26" s="17" t="s">
        <v>10</v>
      </c>
      <c r="D26" s="20" t="str">
        <f>IF(Calculations!C31="","",D25)</f>
        <v/>
      </c>
      <c r="E26" s="20" t="str">
        <f>IF(Calculations!C31="","",E25)</f>
        <v/>
      </c>
      <c r="F26" s="20" t="str">
        <f>IF(Calculations!C31="","",F25)</f>
        <v/>
      </c>
      <c r="G26" s="21" t="str">
        <f>IF(Calculations!C31="","",G25+1)</f>
        <v/>
      </c>
      <c r="H26" s="14"/>
    </row>
    <row r="27" spans="1:8">
      <c r="A27" s="14"/>
      <c r="B27" s="34"/>
      <c r="C27" s="17" t="s">
        <v>11</v>
      </c>
      <c r="D27" s="20" t="str">
        <f>IF(Calculations!C31="","",IF(D28=D26,D28,D28-D26))</f>
        <v/>
      </c>
      <c r="E27" s="20" t="str">
        <f>IF(Calculations!C31="","",IF(E28=E26,E28,E28-E26))</f>
        <v/>
      </c>
      <c r="F27" s="20" t="str">
        <f>IF(Calculations!C31="","",IF(F28=F26,F28,F28-F26))</f>
        <v/>
      </c>
      <c r="G27" s="21" t="str">
        <f>IF(Calculations!C31="","",IF(G28=G26,G28,G28-1))</f>
        <v/>
      </c>
      <c r="H27" s="14"/>
    </row>
    <row r="28" spans="1:8">
      <c r="A28" s="14"/>
      <c r="B28" s="34"/>
      <c r="C28" s="19" t="s">
        <v>7</v>
      </c>
      <c r="D28" s="24" t="str">
        <f>IF(Calculations!C31="","",IF(Calculations!G25=255,D25,D25+Calculations!G26))</f>
        <v/>
      </c>
      <c r="E28" s="24" t="str">
        <f>IF(Calculations!C31="","",IF(Calculations!O25=255,E25,E25+Calculations!O26))</f>
        <v/>
      </c>
      <c r="F28" s="24" t="str">
        <f>IF(Calculations!C31="","",IF(Calculations!W25=255,F25,F25+Calculations!W26))</f>
        <v/>
      </c>
      <c r="G28" s="25" t="str">
        <f>IF(Calculations!C31="","",IF(Calculations!AE25=255,G25,G25+Calculations!AE26))</f>
        <v/>
      </c>
      <c r="H28" s="14"/>
    </row>
    <row r="29" spans="1:8">
      <c r="A29" s="14"/>
      <c r="B29" s="34"/>
      <c r="C29" s="18" t="s">
        <v>0</v>
      </c>
      <c r="D29" s="28" t="str">
        <f>IF(Calculations!C31="","",Calculations!G25)</f>
        <v/>
      </c>
      <c r="E29" s="28" t="str">
        <f>IF(Calculations!C31="","",Calculations!O25)</f>
        <v/>
      </c>
      <c r="F29" s="28" t="str">
        <f>IF(Calculations!C31="","",Calculations!W25)</f>
        <v/>
      </c>
      <c r="G29" s="29" t="str">
        <f>IF(Calculations!C31="","",Calculations!AE25)</f>
        <v/>
      </c>
      <c r="H29" s="14"/>
    </row>
    <row r="30" spans="1:8">
      <c r="A30" s="14"/>
      <c r="B30" s="34"/>
      <c r="C30" s="18" t="s">
        <v>8</v>
      </c>
      <c r="D30" s="26" t="str">
        <f>IF(Calculations!C31="","",CONCATENATE("\",COUNTIF(Calculations!C22:AH22,1)))</f>
        <v/>
      </c>
      <c r="E30" s="26"/>
      <c r="F30" s="26"/>
      <c r="G30" s="27"/>
      <c r="H30" s="14"/>
    </row>
    <row r="31" spans="1:8" ht="15.75" thickBot="1">
      <c r="A31" s="14"/>
      <c r="B31" s="35"/>
      <c r="C31" s="30" t="s">
        <v>12</v>
      </c>
      <c r="D31" s="31" t="str">
        <f>IF(Calculations!C31="","",IF(E28&gt;254,D28+1,IF(D28=D26,D26,D26+Calculations!G26)))</f>
        <v/>
      </c>
      <c r="E31" s="31" t="str">
        <f>IF(Calculations!C31="","",IF(F28&gt;254,E28+1,IF(E28=E26,E26,E26+Calculations!O26)))</f>
        <v/>
      </c>
      <c r="F31" s="31" t="str">
        <f>IF(Calculations!C31="","",IF(G28&gt;254,F28+1,IF(F28=F26,F26,F26+Calculations!W26)))</f>
        <v/>
      </c>
      <c r="G31" s="32" t="str">
        <f>IF(Calculations!C31="","",IF(G28+1&gt;255,0,G28+1))</f>
        <v/>
      </c>
      <c r="H31" s="14"/>
    </row>
    <row r="32" spans="1:8" ht="15.75" thickTop="1">
      <c r="A32" s="14"/>
      <c r="B32" s="33" t="str">
        <f>CONCATENATE(Calculations!G40,CHAR(10),"Network")</f>
        <v>4th
Network</v>
      </c>
      <c r="C32" s="15" t="s">
        <v>6</v>
      </c>
      <c r="D32" s="36"/>
      <c r="E32" s="36"/>
      <c r="F32" s="36"/>
      <c r="G32" s="37"/>
      <c r="H32" s="14"/>
    </row>
    <row r="33" spans="1:8">
      <c r="A33" s="14"/>
      <c r="B33" s="34"/>
      <c r="C33" s="16" t="s">
        <v>9</v>
      </c>
      <c r="D33" s="38" t="str">
        <f>IF(Calculations!C41="","",IFERROR(HLOOKUP(D32+2,Calculations!C39:AH39,1,FALSE),HLOOKUP(TRUE,Calculations!C37:AH39,3,FALSE)))</f>
        <v/>
      </c>
      <c r="E33" s="38"/>
      <c r="F33" s="38"/>
      <c r="G33" s="39"/>
      <c r="H33" s="14"/>
    </row>
    <row r="34" spans="1:8">
      <c r="A34" s="14"/>
      <c r="B34" s="34"/>
      <c r="C34" s="16" t="s">
        <v>16</v>
      </c>
      <c r="D34" s="38" t="str">
        <f>IF(Calculations!C41="","",D33-2)</f>
        <v/>
      </c>
      <c r="E34" s="38"/>
      <c r="F34" s="38"/>
      <c r="G34" s="39"/>
      <c r="H34" s="14"/>
    </row>
    <row r="35" spans="1:8">
      <c r="A35" s="14"/>
      <c r="B35" s="34"/>
      <c r="C35" s="19" t="s">
        <v>15</v>
      </c>
      <c r="D35" s="24" t="str">
        <f>IF(OR(D32="",D31=""),"",D31)</f>
        <v/>
      </c>
      <c r="E35" s="24" t="str">
        <f>IF(OR(D32="",E31=""),"",E31)</f>
        <v/>
      </c>
      <c r="F35" s="24" t="str">
        <f>IF(OR(D32="",F31=""),"",F31)</f>
        <v/>
      </c>
      <c r="G35" s="25" t="str">
        <f>IF(OR(D32="",G31=""),"",G31)</f>
        <v/>
      </c>
      <c r="H35" s="14"/>
    </row>
    <row r="36" spans="1:8">
      <c r="A36" s="14"/>
      <c r="B36" s="34"/>
      <c r="C36" s="17" t="s">
        <v>10</v>
      </c>
      <c r="D36" s="20" t="str">
        <f>IF(Calculations!C41="","",D35)</f>
        <v/>
      </c>
      <c r="E36" s="20" t="str">
        <f>IF(Calculations!C41="","",E35)</f>
        <v/>
      </c>
      <c r="F36" s="20" t="str">
        <f>IF(Calculations!C41="","",F35)</f>
        <v/>
      </c>
      <c r="G36" s="21" t="str">
        <f>IF(Calculations!C41="","",G35+1)</f>
        <v/>
      </c>
      <c r="H36" s="14"/>
    </row>
    <row r="37" spans="1:8">
      <c r="A37" s="14"/>
      <c r="B37" s="34"/>
      <c r="C37" s="17" t="s">
        <v>11</v>
      </c>
      <c r="D37" s="20" t="str">
        <f>IF(Calculations!C41="","",IF(D38=D36,D38,D38-D36))</f>
        <v/>
      </c>
      <c r="E37" s="20" t="str">
        <f>IF(Calculations!C41="","",IF(E38=E36,E38,E38-E36))</f>
        <v/>
      </c>
      <c r="F37" s="20" t="str">
        <f>IF(Calculations!C41="","",IF(F38=F36,F38,F38-F36))</f>
        <v/>
      </c>
      <c r="G37" s="21" t="str">
        <f>IF(Calculations!C41="","",IF(G38=G36,G38,G38-1))</f>
        <v/>
      </c>
      <c r="H37" s="14"/>
    </row>
    <row r="38" spans="1:8">
      <c r="A38" s="14"/>
      <c r="B38" s="34"/>
      <c r="C38" s="19" t="s">
        <v>7</v>
      </c>
      <c r="D38" s="24" t="str">
        <f>IF(Calculations!C41="","",IF(Calculations!G35=255,D35,D35+Calculations!G36))</f>
        <v/>
      </c>
      <c r="E38" s="24" t="str">
        <f>IF(Calculations!C41="","",IF(Calculations!O35=255,E35,E35+Calculations!O36))</f>
        <v/>
      </c>
      <c r="F38" s="24" t="str">
        <f>IF(Calculations!C41="","",IF(Calculations!W35=255,F35,F35+Calculations!W36))</f>
        <v/>
      </c>
      <c r="G38" s="25" t="str">
        <f>IF(Calculations!C41="","",IF(Calculations!AE35=255,G35,G35+Calculations!AE36))</f>
        <v/>
      </c>
      <c r="H38" s="14"/>
    </row>
    <row r="39" spans="1:8">
      <c r="A39" s="14"/>
      <c r="B39" s="34"/>
      <c r="C39" s="18" t="s">
        <v>0</v>
      </c>
      <c r="D39" s="28" t="str">
        <f>IF(Calculations!C41="","",Calculations!G35)</f>
        <v/>
      </c>
      <c r="E39" s="28" t="str">
        <f>IF(Calculations!C41="","",Calculations!O35)</f>
        <v/>
      </c>
      <c r="F39" s="28" t="str">
        <f>IF(Calculations!C41="","",Calculations!W35)</f>
        <v/>
      </c>
      <c r="G39" s="29" t="str">
        <f>IF(Calculations!C41="","",Calculations!AE35)</f>
        <v/>
      </c>
      <c r="H39" s="14"/>
    </row>
    <row r="40" spans="1:8">
      <c r="A40" s="14"/>
      <c r="B40" s="34"/>
      <c r="C40" s="18" t="s">
        <v>8</v>
      </c>
      <c r="D40" s="26" t="str">
        <f>IF(Calculations!C41="","",CONCATENATE("\",COUNTIF(Calculations!C32:AH32,1)))</f>
        <v/>
      </c>
      <c r="E40" s="26"/>
      <c r="F40" s="26"/>
      <c r="G40" s="27"/>
      <c r="H40" s="14"/>
    </row>
    <row r="41" spans="1:8" ht="15.75" thickBot="1">
      <c r="A41" s="14"/>
      <c r="B41" s="35"/>
      <c r="C41" s="30" t="s">
        <v>12</v>
      </c>
      <c r="D41" s="31" t="str">
        <f>IF(Calculations!C41="","",IF(E38&gt;254,D38+1,IF(D38=D36,D36,D36+Calculations!G36)))</f>
        <v/>
      </c>
      <c r="E41" s="31" t="str">
        <f>IF(Calculations!C41="","",IF(F38&gt;254,E38+1,IF(E38=E36,E36,E36+Calculations!O36)))</f>
        <v/>
      </c>
      <c r="F41" s="31" t="str">
        <f>IF(Calculations!C41="","",IF(G38&gt;254,F38+1,IF(F38=F36,F36,F36+Calculations!W36)))</f>
        <v/>
      </c>
      <c r="G41" s="32" t="str">
        <f>IF(Calculations!C41="","",IF(G38+1&gt;255,0,G38+1))</f>
        <v/>
      </c>
      <c r="H41" s="14"/>
    </row>
    <row r="42" spans="1:8" ht="15.75" thickTop="1">
      <c r="A42" s="14"/>
      <c r="B42" s="33" t="str">
        <f>CONCATENATE(Calculations!G50,CHAR(10),"Network")</f>
        <v>5th
Network</v>
      </c>
      <c r="C42" s="15" t="s">
        <v>6</v>
      </c>
      <c r="D42" s="36"/>
      <c r="E42" s="36"/>
      <c r="F42" s="36"/>
      <c r="G42" s="37"/>
      <c r="H42" s="14"/>
    </row>
    <row r="43" spans="1:8">
      <c r="A43" s="14"/>
      <c r="B43" s="34"/>
      <c r="C43" s="16" t="s">
        <v>9</v>
      </c>
      <c r="D43" s="38" t="str">
        <f>IF(Calculations!C51="","",IFERROR(HLOOKUP(D42+2,Calculations!C49:AH49,1,FALSE),HLOOKUP(TRUE,Calculations!C47:AH49,3,FALSE)))</f>
        <v/>
      </c>
      <c r="E43" s="38"/>
      <c r="F43" s="38"/>
      <c r="G43" s="39"/>
      <c r="H43" s="14"/>
    </row>
    <row r="44" spans="1:8">
      <c r="A44" s="14"/>
      <c r="B44" s="34"/>
      <c r="C44" s="16" t="s">
        <v>16</v>
      </c>
      <c r="D44" s="38" t="str">
        <f>IF(Calculations!C51="","",D43-2)</f>
        <v/>
      </c>
      <c r="E44" s="38"/>
      <c r="F44" s="38"/>
      <c r="G44" s="39"/>
      <c r="H44" s="14"/>
    </row>
    <row r="45" spans="1:8">
      <c r="A45" s="14"/>
      <c r="B45" s="34"/>
      <c r="C45" s="19" t="s">
        <v>15</v>
      </c>
      <c r="D45" s="24" t="str">
        <f>IF(OR(D42="",D41=""),"",D41)</f>
        <v/>
      </c>
      <c r="E45" s="24" t="str">
        <f>IF(OR(D42="",E41=""),"",E41)</f>
        <v/>
      </c>
      <c r="F45" s="24" t="str">
        <f>IF(OR(D42="",F41=""),"",F41)</f>
        <v/>
      </c>
      <c r="G45" s="25" t="str">
        <f>IF(OR(D42="",G41=""),"",G41)</f>
        <v/>
      </c>
      <c r="H45" s="14"/>
    </row>
    <row r="46" spans="1:8">
      <c r="A46" s="14"/>
      <c r="B46" s="34"/>
      <c r="C46" s="17" t="s">
        <v>10</v>
      </c>
      <c r="D46" s="20" t="str">
        <f>IF(Calculations!C51="","",D45)</f>
        <v/>
      </c>
      <c r="E46" s="20" t="str">
        <f>IF(Calculations!C51="","",E45)</f>
        <v/>
      </c>
      <c r="F46" s="20" t="str">
        <f>IF(Calculations!C51="","",F45)</f>
        <v/>
      </c>
      <c r="G46" s="21" t="str">
        <f>IF(Calculations!C51="","",G45+1)</f>
        <v/>
      </c>
      <c r="H46" s="14"/>
    </row>
    <row r="47" spans="1:8">
      <c r="A47" s="14"/>
      <c r="B47" s="34"/>
      <c r="C47" s="17" t="s">
        <v>11</v>
      </c>
      <c r="D47" s="20" t="str">
        <f>IF(Calculations!C51="","",IF(D48=D46,D48,D48-D46))</f>
        <v/>
      </c>
      <c r="E47" s="20" t="str">
        <f>IF(Calculations!C51="","",IF(E48=E46,E48,E48-E46))</f>
        <v/>
      </c>
      <c r="F47" s="20" t="str">
        <f>IF(Calculations!C51="","",IF(F48=F46,F48,F48-F46))</f>
        <v/>
      </c>
      <c r="G47" s="21" t="str">
        <f>IF(Calculations!C51="","",IF(G48=G46,G48,G48-1))</f>
        <v/>
      </c>
      <c r="H47" s="14"/>
    </row>
    <row r="48" spans="1:8">
      <c r="A48" s="14"/>
      <c r="B48" s="34"/>
      <c r="C48" s="19" t="s">
        <v>7</v>
      </c>
      <c r="D48" s="24" t="str">
        <f>IF(Calculations!C51="","",IF(Calculations!G45=255,D45,D45+Calculations!G46))</f>
        <v/>
      </c>
      <c r="E48" s="24" t="str">
        <f>IF(Calculations!C51="","",IF(Calculations!O45=255,E45,E45+Calculations!O46))</f>
        <v/>
      </c>
      <c r="F48" s="24" t="str">
        <f>IF(Calculations!C51="","",IF(Calculations!W45=255,F45,F45+Calculations!W46))</f>
        <v/>
      </c>
      <c r="G48" s="25" t="str">
        <f>IF(Calculations!C51="","",IF(Calculations!AE45=255,G45,G45+Calculations!AE46))</f>
        <v/>
      </c>
      <c r="H48" s="14"/>
    </row>
    <row r="49" spans="1:8">
      <c r="A49" s="14"/>
      <c r="B49" s="34"/>
      <c r="C49" s="18" t="s">
        <v>0</v>
      </c>
      <c r="D49" s="28" t="str">
        <f>IF(Calculations!C51="","",Calculations!G45)</f>
        <v/>
      </c>
      <c r="E49" s="28" t="str">
        <f>IF(Calculations!C51="","",Calculations!O45)</f>
        <v/>
      </c>
      <c r="F49" s="28" t="str">
        <f>IF(Calculations!C51="","",Calculations!W45)</f>
        <v/>
      </c>
      <c r="G49" s="29" t="str">
        <f>IF(Calculations!C51="","",Calculations!AE45)</f>
        <v/>
      </c>
      <c r="H49" s="14"/>
    </row>
    <row r="50" spans="1:8">
      <c r="A50" s="14"/>
      <c r="B50" s="34"/>
      <c r="C50" s="18" t="s">
        <v>8</v>
      </c>
      <c r="D50" s="26" t="str">
        <f>IF(Calculations!C51="","",CONCATENATE("\",COUNTIF(Calculations!C42:AH42,1)))</f>
        <v/>
      </c>
      <c r="E50" s="26"/>
      <c r="F50" s="26"/>
      <c r="G50" s="27"/>
      <c r="H50" s="14"/>
    </row>
    <row r="51" spans="1:8" ht="15.75" thickBot="1">
      <c r="A51" s="14"/>
      <c r="B51" s="35"/>
      <c r="C51" s="30" t="s">
        <v>12</v>
      </c>
      <c r="D51" s="31" t="str">
        <f>IF(Calculations!C51="","",IF(E48&gt;254,D48+1,IF(D48=D46,D46,D46+Calculations!G46)))</f>
        <v/>
      </c>
      <c r="E51" s="31" t="str">
        <f>IF(Calculations!C51="","",IF(F48&gt;254,E48+1,IF(E48=E46,E46,E46+Calculations!O46)))</f>
        <v/>
      </c>
      <c r="F51" s="31" t="str">
        <f>IF(Calculations!C51="","",IF(G48&gt;254,F48+1,IF(F48=F46,F46,F46+Calculations!W46)))</f>
        <v/>
      </c>
      <c r="G51" s="32" t="str">
        <f>IF(Calculations!C51="","",IF(G48+1&gt;255,0,G48+1))</f>
        <v/>
      </c>
      <c r="H51" s="14"/>
    </row>
    <row r="52" spans="1:8" ht="15.75" thickTop="1">
      <c r="A52" s="14"/>
      <c r="B52" s="33" t="str">
        <f>CONCATENATE(Calculations!G60,CHAR(10),"Network")</f>
        <v>6th
Network</v>
      </c>
      <c r="C52" s="15" t="s">
        <v>6</v>
      </c>
      <c r="D52" s="36"/>
      <c r="E52" s="36"/>
      <c r="F52" s="36"/>
      <c r="G52" s="37"/>
      <c r="H52" s="14"/>
    </row>
    <row r="53" spans="1:8">
      <c r="A53" s="14"/>
      <c r="B53" s="34"/>
      <c r="C53" s="16" t="s">
        <v>9</v>
      </c>
      <c r="D53" s="38" t="str">
        <f>IF(Calculations!C61="","",IFERROR(HLOOKUP(D52+2,Calculations!C59:AH59,1,FALSE),HLOOKUP(TRUE,Calculations!C57:AH59,3,FALSE)))</f>
        <v/>
      </c>
      <c r="E53" s="38"/>
      <c r="F53" s="38"/>
      <c r="G53" s="39"/>
      <c r="H53" s="14"/>
    </row>
    <row r="54" spans="1:8">
      <c r="A54" s="14"/>
      <c r="B54" s="34"/>
      <c r="C54" s="16" t="s">
        <v>16</v>
      </c>
      <c r="D54" s="38" t="str">
        <f>IF(Calculations!C61="","",D53-2)</f>
        <v/>
      </c>
      <c r="E54" s="38"/>
      <c r="F54" s="38"/>
      <c r="G54" s="39"/>
      <c r="H54" s="14"/>
    </row>
    <row r="55" spans="1:8">
      <c r="A55" s="14"/>
      <c r="B55" s="34"/>
      <c r="C55" s="19" t="s">
        <v>15</v>
      </c>
      <c r="D55" s="24" t="str">
        <f>IF(OR(D52="",D51=""),"",D51)</f>
        <v/>
      </c>
      <c r="E55" s="24" t="str">
        <f>IF(OR(D52="",E51=""),"",E51)</f>
        <v/>
      </c>
      <c r="F55" s="24" t="str">
        <f>IF(OR(D52="",F51=""),"",F51)</f>
        <v/>
      </c>
      <c r="G55" s="25" t="str">
        <f>IF(OR(D52="",G51=""),"",G51)</f>
        <v/>
      </c>
      <c r="H55" s="14"/>
    </row>
    <row r="56" spans="1:8">
      <c r="A56" s="14"/>
      <c r="B56" s="34"/>
      <c r="C56" s="17" t="s">
        <v>10</v>
      </c>
      <c r="D56" s="20" t="str">
        <f>IF(Calculations!C61="","",D55)</f>
        <v/>
      </c>
      <c r="E56" s="20" t="str">
        <f>IF(Calculations!C61="","",E55)</f>
        <v/>
      </c>
      <c r="F56" s="20" t="str">
        <f>IF(Calculations!C61="","",F55)</f>
        <v/>
      </c>
      <c r="G56" s="21" t="str">
        <f>IF(Calculations!C61="","",G55+1)</f>
        <v/>
      </c>
      <c r="H56" s="14"/>
    </row>
    <row r="57" spans="1:8">
      <c r="A57" s="14"/>
      <c r="B57" s="34"/>
      <c r="C57" s="17" t="s">
        <v>11</v>
      </c>
      <c r="D57" s="20" t="str">
        <f>IF(Calculations!C61="","",IF(D58=D56,D58,D58-D56))</f>
        <v/>
      </c>
      <c r="E57" s="20" t="str">
        <f>IF(Calculations!C61="","",IF(E58=E56,E58,E58-E56))</f>
        <v/>
      </c>
      <c r="F57" s="20" t="str">
        <f>IF(Calculations!C61="","",IF(F58=F56,F58,F58-F56))</f>
        <v/>
      </c>
      <c r="G57" s="21" t="str">
        <f>IF(Calculations!C61="","",IF(G58=G56,G58,G58-1))</f>
        <v/>
      </c>
      <c r="H57" s="14"/>
    </row>
    <row r="58" spans="1:8">
      <c r="A58" s="14"/>
      <c r="B58" s="34"/>
      <c r="C58" s="19" t="s">
        <v>7</v>
      </c>
      <c r="D58" s="24" t="str">
        <f>IF(Calculations!C61="","",IF(Calculations!G55=255,D55,D55+Calculations!G56))</f>
        <v/>
      </c>
      <c r="E58" s="24" t="str">
        <f>IF(Calculations!C61="","",IF(Calculations!O55=255,E55,E55+Calculations!O56))</f>
        <v/>
      </c>
      <c r="F58" s="24" t="str">
        <f>IF(Calculations!C61="","",IF(Calculations!W55=255,F55,F55+Calculations!W56))</f>
        <v/>
      </c>
      <c r="G58" s="25" t="str">
        <f>IF(Calculations!C61="","",IF(Calculations!AE55=255,G55,G55+Calculations!AE56))</f>
        <v/>
      </c>
      <c r="H58" s="14"/>
    </row>
    <row r="59" spans="1:8">
      <c r="A59" s="14"/>
      <c r="B59" s="34"/>
      <c r="C59" s="18" t="s">
        <v>0</v>
      </c>
      <c r="D59" s="28" t="str">
        <f>IF(Calculations!C61="","",Calculations!G55)</f>
        <v/>
      </c>
      <c r="E59" s="28" t="str">
        <f>IF(Calculations!C61="","",Calculations!O55)</f>
        <v/>
      </c>
      <c r="F59" s="28" t="str">
        <f>IF(Calculations!C61="","",Calculations!W55)</f>
        <v/>
      </c>
      <c r="G59" s="29" t="str">
        <f>IF(Calculations!C61="","",Calculations!AE55)</f>
        <v/>
      </c>
      <c r="H59" s="14"/>
    </row>
    <row r="60" spans="1:8">
      <c r="A60" s="14"/>
      <c r="B60" s="34"/>
      <c r="C60" s="18" t="s">
        <v>8</v>
      </c>
      <c r="D60" s="26" t="str">
        <f>IF(Calculations!C61="","",CONCATENATE("\",COUNTIF(Calculations!C52:AH52,1)))</f>
        <v/>
      </c>
      <c r="E60" s="26"/>
      <c r="F60" s="26"/>
      <c r="G60" s="27"/>
      <c r="H60" s="14"/>
    </row>
    <row r="61" spans="1:8" ht="15.75" thickBot="1">
      <c r="A61" s="14"/>
      <c r="B61" s="35"/>
      <c r="C61" s="30" t="s">
        <v>12</v>
      </c>
      <c r="D61" s="31" t="str">
        <f>IF(Calculations!C61="","",IF(E58&gt;254,D58+1,IF(D58=D56,D56,D56+Calculations!G56)))</f>
        <v/>
      </c>
      <c r="E61" s="31" t="str">
        <f>IF(Calculations!C61="","",IF(F58&gt;254,E58+1,IF(E58=E56,E56,E56+Calculations!O56)))</f>
        <v/>
      </c>
      <c r="F61" s="31" t="str">
        <f>IF(Calculations!C61="","",IF(G58&gt;254,F58+1,IF(F58=F56,F56,F56+Calculations!W56)))</f>
        <v/>
      </c>
      <c r="G61" s="32" t="str">
        <f>IF(Calculations!C61="","",IF(G58+1&gt;255,0,G58+1))</f>
        <v/>
      </c>
      <c r="H61" s="14"/>
    </row>
    <row r="62" spans="1:8" ht="15.75" thickTop="1">
      <c r="A62" s="14"/>
      <c r="B62" s="33" t="str">
        <f>CONCATENATE(Calculations!G70,CHAR(10),"Network")</f>
        <v>7th
Network</v>
      </c>
      <c r="C62" s="15" t="s">
        <v>6</v>
      </c>
      <c r="D62" s="36"/>
      <c r="E62" s="36"/>
      <c r="F62" s="36"/>
      <c r="G62" s="37"/>
      <c r="H62" s="14"/>
    </row>
    <row r="63" spans="1:8">
      <c r="A63" s="14"/>
      <c r="B63" s="34"/>
      <c r="C63" s="16" t="s">
        <v>9</v>
      </c>
      <c r="D63" s="38" t="str">
        <f>IF(Calculations!C71="","",IFERROR(HLOOKUP(D62+2,Calculations!C69:AH69,1,FALSE),HLOOKUP(TRUE,Calculations!C67:AH69,3,FALSE)))</f>
        <v/>
      </c>
      <c r="E63" s="38"/>
      <c r="F63" s="38"/>
      <c r="G63" s="39"/>
      <c r="H63" s="14"/>
    </row>
    <row r="64" spans="1:8">
      <c r="A64" s="14"/>
      <c r="B64" s="34"/>
      <c r="C64" s="16" t="s">
        <v>16</v>
      </c>
      <c r="D64" s="38" t="str">
        <f>IF(Calculations!C71="","",D63-2)</f>
        <v/>
      </c>
      <c r="E64" s="38"/>
      <c r="F64" s="38"/>
      <c r="G64" s="39"/>
      <c r="H64" s="14"/>
    </row>
    <row r="65" spans="1:8">
      <c r="A65" s="14"/>
      <c r="B65" s="34"/>
      <c r="C65" s="19" t="s">
        <v>15</v>
      </c>
      <c r="D65" s="24" t="str">
        <f>IF(OR(D62="",D61=""),"",D61)</f>
        <v/>
      </c>
      <c r="E65" s="24" t="str">
        <f>IF(OR(D62="",E61=""),"",E61)</f>
        <v/>
      </c>
      <c r="F65" s="24" t="str">
        <f>IF(OR(D62="",F61=""),"",F61)</f>
        <v/>
      </c>
      <c r="G65" s="25" t="str">
        <f>IF(OR(D62="",G61=""),"",G61)</f>
        <v/>
      </c>
      <c r="H65" s="14"/>
    </row>
    <row r="66" spans="1:8">
      <c r="A66" s="14"/>
      <c r="B66" s="34"/>
      <c r="C66" s="17" t="s">
        <v>10</v>
      </c>
      <c r="D66" s="20" t="str">
        <f>IF(Calculations!C71="","",D65)</f>
        <v/>
      </c>
      <c r="E66" s="20" t="str">
        <f>IF(Calculations!C71="","",E65)</f>
        <v/>
      </c>
      <c r="F66" s="20" t="str">
        <f>IF(Calculations!C71="","",F65)</f>
        <v/>
      </c>
      <c r="G66" s="21" t="str">
        <f>IF(Calculations!C71="","",G65+1)</f>
        <v/>
      </c>
      <c r="H66" s="14"/>
    </row>
    <row r="67" spans="1:8">
      <c r="A67" s="14"/>
      <c r="B67" s="34"/>
      <c r="C67" s="17" t="s">
        <v>11</v>
      </c>
      <c r="D67" s="20" t="str">
        <f>IF(Calculations!C71="","",IF(D68=D66,D68,D68-D66))</f>
        <v/>
      </c>
      <c r="E67" s="20" t="str">
        <f>IF(Calculations!C71="","",IF(E68=E66,E68,E68-E66))</f>
        <v/>
      </c>
      <c r="F67" s="20" t="str">
        <f>IF(Calculations!C71="","",IF(F68=F66,F68,F68-F66))</f>
        <v/>
      </c>
      <c r="G67" s="21" t="str">
        <f>IF(Calculations!C71="","",IF(G68=G66,G68,G68-1))</f>
        <v/>
      </c>
      <c r="H67" s="14"/>
    </row>
    <row r="68" spans="1:8">
      <c r="A68" s="14"/>
      <c r="B68" s="34"/>
      <c r="C68" s="19" t="s">
        <v>7</v>
      </c>
      <c r="D68" s="24" t="str">
        <f>IF(Calculations!C71="","",IF(Calculations!G65=255,D65,D65+Calculations!G66))</f>
        <v/>
      </c>
      <c r="E68" s="24" t="str">
        <f>IF(Calculations!C71="","",IF(Calculations!O65=255,E65,E65+Calculations!O66))</f>
        <v/>
      </c>
      <c r="F68" s="24" t="str">
        <f>IF(Calculations!C71="","",IF(Calculations!W65=255,F65,F65+Calculations!W66))</f>
        <v/>
      </c>
      <c r="G68" s="25" t="str">
        <f>IF(Calculations!C71="","",IF(Calculations!AE65=255,G65,G65+Calculations!AE66))</f>
        <v/>
      </c>
      <c r="H68" s="14"/>
    </row>
    <row r="69" spans="1:8">
      <c r="A69" s="14"/>
      <c r="B69" s="34"/>
      <c r="C69" s="18" t="s">
        <v>0</v>
      </c>
      <c r="D69" s="28" t="str">
        <f>IF(Calculations!C71="","",Calculations!G65)</f>
        <v/>
      </c>
      <c r="E69" s="28" t="str">
        <f>IF(Calculations!C71="","",Calculations!O65)</f>
        <v/>
      </c>
      <c r="F69" s="28" t="str">
        <f>IF(Calculations!C71="","",Calculations!W65)</f>
        <v/>
      </c>
      <c r="G69" s="29" t="str">
        <f>IF(Calculations!C71="","",Calculations!AE65)</f>
        <v/>
      </c>
      <c r="H69" s="14"/>
    </row>
    <row r="70" spans="1:8">
      <c r="A70" s="14"/>
      <c r="B70" s="34"/>
      <c r="C70" s="18" t="s">
        <v>8</v>
      </c>
      <c r="D70" s="26" t="str">
        <f>IF(Calculations!C71="","",CONCATENATE("\",COUNTIF(Calculations!C62:AH62,1)))</f>
        <v/>
      </c>
      <c r="E70" s="26"/>
      <c r="F70" s="26"/>
      <c r="G70" s="27"/>
      <c r="H70" s="14"/>
    </row>
    <row r="71" spans="1:8" ht="15.75" thickBot="1">
      <c r="A71" s="14"/>
      <c r="B71" s="35"/>
      <c r="C71" s="30" t="s">
        <v>12</v>
      </c>
      <c r="D71" s="31" t="str">
        <f>IF(Calculations!C71="","",IF(E68&gt;254,D68+1,IF(D68=D66,D66,D66+Calculations!G66)))</f>
        <v/>
      </c>
      <c r="E71" s="31" t="str">
        <f>IF(Calculations!C71="","",IF(F68&gt;254,E68+1,IF(E68=E66,E66,E66+Calculations!O66)))</f>
        <v/>
      </c>
      <c r="F71" s="31" t="str">
        <f>IF(Calculations!C71="","",IF(G68&gt;254,F68+1,IF(F68=F66,F66,F66+Calculations!W66)))</f>
        <v/>
      </c>
      <c r="G71" s="32" t="str">
        <f>IF(Calculations!C71="","",IF(G68+1&gt;255,0,G68+1))</f>
        <v/>
      </c>
      <c r="H71" s="14"/>
    </row>
    <row r="72" spans="1:8" ht="15.75" thickTop="1">
      <c r="A72" s="14"/>
      <c r="B72" s="33" t="str">
        <f>CONCATENATE(Calculations!G80,CHAR(10),"Network")</f>
        <v>8th
Network</v>
      </c>
      <c r="C72" s="15" t="s">
        <v>6</v>
      </c>
      <c r="D72" s="36"/>
      <c r="E72" s="36"/>
      <c r="F72" s="36"/>
      <c r="G72" s="37"/>
      <c r="H72" s="14"/>
    </row>
    <row r="73" spans="1:8">
      <c r="A73" s="14"/>
      <c r="B73" s="34"/>
      <c r="C73" s="16" t="s">
        <v>9</v>
      </c>
      <c r="D73" s="38" t="str">
        <f>IF(Calculations!C81="","",IFERROR(HLOOKUP(D72+2,Calculations!C79:AH79,1,FALSE),HLOOKUP(TRUE,Calculations!C77:AH79,3,FALSE)))</f>
        <v/>
      </c>
      <c r="E73" s="38"/>
      <c r="F73" s="38"/>
      <c r="G73" s="39"/>
      <c r="H73" s="14"/>
    </row>
    <row r="74" spans="1:8">
      <c r="A74" s="14"/>
      <c r="B74" s="34"/>
      <c r="C74" s="16" t="s">
        <v>16</v>
      </c>
      <c r="D74" s="38" t="str">
        <f>IF(Calculations!C81="","",D73-2)</f>
        <v/>
      </c>
      <c r="E74" s="38"/>
      <c r="F74" s="38"/>
      <c r="G74" s="39"/>
      <c r="H74" s="14"/>
    </row>
    <row r="75" spans="1:8">
      <c r="A75" s="14"/>
      <c r="B75" s="34"/>
      <c r="C75" s="19" t="s">
        <v>15</v>
      </c>
      <c r="D75" s="24" t="str">
        <f>IF(OR(D72="",D71=""),"",D71)</f>
        <v/>
      </c>
      <c r="E75" s="24" t="str">
        <f>IF(OR(D72="",E71=""),"",E71)</f>
        <v/>
      </c>
      <c r="F75" s="24" t="str">
        <f>IF(OR(D72="",F71=""),"",F71)</f>
        <v/>
      </c>
      <c r="G75" s="25" t="str">
        <f>IF(OR(D72="",G71=""),"",G71)</f>
        <v/>
      </c>
      <c r="H75" s="14"/>
    </row>
    <row r="76" spans="1:8">
      <c r="A76" s="14"/>
      <c r="B76" s="34"/>
      <c r="C76" s="17" t="s">
        <v>10</v>
      </c>
      <c r="D76" s="20" t="str">
        <f>IF(Calculations!C81="","",D75)</f>
        <v/>
      </c>
      <c r="E76" s="20" t="str">
        <f>IF(Calculations!C81="","",E75)</f>
        <v/>
      </c>
      <c r="F76" s="20" t="str">
        <f>IF(Calculations!C81="","",F75)</f>
        <v/>
      </c>
      <c r="G76" s="21" t="str">
        <f>IF(Calculations!C81="","",G75+1)</f>
        <v/>
      </c>
      <c r="H76" s="14"/>
    </row>
    <row r="77" spans="1:8">
      <c r="A77" s="14"/>
      <c r="B77" s="34"/>
      <c r="C77" s="17" t="s">
        <v>11</v>
      </c>
      <c r="D77" s="20" t="str">
        <f>IF(Calculations!C81="","",IF(D78=D76,D78,D78-D76))</f>
        <v/>
      </c>
      <c r="E77" s="20" t="str">
        <f>IF(Calculations!C81="","",IF(E78=E76,E78,E78-E76))</f>
        <v/>
      </c>
      <c r="F77" s="20" t="str">
        <f>IF(Calculations!C81="","",IF(F78=F76,F78,F78-F76))</f>
        <v/>
      </c>
      <c r="G77" s="21" t="str">
        <f>IF(Calculations!C81="","",IF(G78=G76,G78,G78-1))</f>
        <v/>
      </c>
      <c r="H77" s="14"/>
    </row>
    <row r="78" spans="1:8">
      <c r="A78" s="14"/>
      <c r="B78" s="34"/>
      <c r="C78" s="19" t="s">
        <v>7</v>
      </c>
      <c r="D78" s="24" t="str">
        <f>IF(Calculations!C81="","",IF(Calculations!G75=255,D75,D75+Calculations!G76))</f>
        <v/>
      </c>
      <c r="E78" s="24" t="str">
        <f>IF(Calculations!C81="","",IF(Calculations!O75=255,E75,E75+Calculations!O76))</f>
        <v/>
      </c>
      <c r="F78" s="24" t="str">
        <f>IF(Calculations!C81="","",IF(Calculations!W75=255,F75,F75+Calculations!W76))</f>
        <v/>
      </c>
      <c r="G78" s="25" t="str">
        <f>IF(Calculations!C81="","",IF(Calculations!AE75=255,G75,G75+Calculations!AE76))</f>
        <v/>
      </c>
      <c r="H78" s="14"/>
    </row>
    <row r="79" spans="1:8">
      <c r="A79" s="14"/>
      <c r="B79" s="34"/>
      <c r="C79" s="18" t="s">
        <v>0</v>
      </c>
      <c r="D79" s="28" t="str">
        <f>IF(Calculations!C81="","",Calculations!G75)</f>
        <v/>
      </c>
      <c r="E79" s="28" t="str">
        <f>IF(Calculations!C81="","",Calculations!O75)</f>
        <v/>
      </c>
      <c r="F79" s="28" t="str">
        <f>IF(Calculations!C81="","",Calculations!W75)</f>
        <v/>
      </c>
      <c r="G79" s="29" t="str">
        <f>IF(Calculations!C81="","",Calculations!AE75)</f>
        <v/>
      </c>
      <c r="H79" s="14"/>
    </row>
    <row r="80" spans="1:8">
      <c r="A80" s="14"/>
      <c r="B80" s="34"/>
      <c r="C80" s="18" t="s">
        <v>8</v>
      </c>
      <c r="D80" s="26" t="str">
        <f>IF(Calculations!C81="","",CONCATENATE("\",COUNTIF(Calculations!C72:AH72,1)))</f>
        <v/>
      </c>
      <c r="E80" s="26"/>
      <c r="F80" s="26"/>
      <c r="G80" s="27"/>
      <c r="H80" s="14"/>
    </row>
    <row r="81" spans="1:8" ht="15.75" thickBot="1">
      <c r="A81" s="14"/>
      <c r="B81" s="35"/>
      <c r="C81" s="30" t="s">
        <v>12</v>
      </c>
      <c r="D81" s="31" t="str">
        <f>IF(Calculations!C81="","",IF(E78&gt;254,D78+1,IF(D78=D76,D76,D76+Calculations!G76)))</f>
        <v/>
      </c>
      <c r="E81" s="31" t="str">
        <f>IF(Calculations!C81="","",IF(F78&gt;254,E78+1,IF(E78=E76,E76,E76+Calculations!O76)))</f>
        <v/>
      </c>
      <c r="F81" s="31" t="str">
        <f>IF(Calculations!C81="","",IF(G78&gt;254,F78+1,IF(F78=F76,F76,F76+Calculations!W76)))</f>
        <v/>
      </c>
      <c r="G81" s="32" t="str">
        <f>IF(Calculations!C81="","",IF(G78+1&gt;255,0,G78+1))</f>
        <v/>
      </c>
      <c r="H81" s="14"/>
    </row>
    <row r="82" spans="1:8" ht="15.75" thickTop="1">
      <c r="A82" s="14"/>
      <c r="B82" s="33" t="str">
        <f>CONCATENATE(Calculations!G90,CHAR(10),"Network")</f>
        <v>9th
Network</v>
      </c>
      <c r="C82" s="15" t="s">
        <v>6</v>
      </c>
      <c r="D82" s="36"/>
      <c r="E82" s="36"/>
      <c r="F82" s="36"/>
      <c r="G82" s="37"/>
      <c r="H82" s="14"/>
    </row>
    <row r="83" spans="1:8">
      <c r="A83" s="14"/>
      <c r="B83" s="34"/>
      <c r="C83" s="16" t="s">
        <v>9</v>
      </c>
      <c r="D83" s="38" t="str">
        <f>IF(Calculations!C91="","",IFERROR(HLOOKUP(D82+2,Calculations!C89:AH89,1,FALSE),HLOOKUP(TRUE,Calculations!C87:AH89,3,FALSE)))</f>
        <v/>
      </c>
      <c r="E83" s="38"/>
      <c r="F83" s="38"/>
      <c r="G83" s="39"/>
      <c r="H83" s="14"/>
    </row>
    <row r="84" spans="1:8">
      <c r="A84" s="14"/>
      <c r="B84" s="34"/>
      <c r="C84" s="16" t="s">
        <v>16</v>
      </c>
      <c r="D84" s="38" t="str">
        <f>IF(Calculations!C91="","",D83-2)</f>
        <v/>
      </c>
      <c r="E84" s="38"/>
      <c r="F84" s="38"/>
      <c r="G84" s="39"/>
      <c r="H84" s="14"/>
    </row>
    <row r="85" spans="1:8">
      <c r="A85" s="14"/>
      <c r="B85" s="34"/>
      <c r="C85" s="19" t="s">
        <v>15</v>
      </c>
      <c r="D85" s="24" t="str">
        <f>IF(OR(D82="",D81=""),"",D81)</f>
        <v/>
      </c>
      <c r="E85" s="24" t="str">
        <f>IF(OR(D82="",E81=""),"",E81)</f>
        <v/>
      </c>
      <c r="F85" s="24" t="str">
        <f>IF(OR(D82="",F81=""),"",F81)</f>
        <v/>
      </c>
      <c r="G85" s="25" t="str">
        <f>IF(OR(D82="",G81=""),"",G81)</f>
        <v/>
      </c>
      <c r="H85" s="14"/>
    </row>
    <row r="86" spans="1:8">
      <c r="A86" s="14"/>
      <c r="B86" s="34"/>
      <c r="C86" s="17" t="s">
        <v>10</v>
      </c>
      <c r="D86" s="20" t="str">
        <f>IF(Calculations!C91="","",D85)</f>
        <v/>
      </c>
      <c r="E86" s="20" t="str">
        <f>IF(Calculations!C91="","",E85)</f>
        <v/>
      </c>
      <c r="F86" s="20" t="str">
        <f>IF(Calculations!C91="","",F85)</f>
        <v/>
      </c>
      <c r="G86" s="21" t="str">
        <f>IF(Calculations!C91="","",G85+1)</f>
        <v/>
      </c>
      <c r="H86" s="14"/>
    </row>
    <row r="87" spans="1:8">
      <c r="A87" s="14"/>
      <c r="B87" s="34"/>
      <c r="C87" s="17" t="s">
        <v>11</v>
      </c>
      <c r="D87" s="20" t="str">
        <f>IF(Calculations!C91="","",IF(D88=D86,D88,D88-D86))</f>
        <v/>
      </c>
      <c r="E87" s="20" t="str">
        <f>IF(Calculations!C91="","",IF(E88=E86,E88,E88-E86))</f>
        <v/>
      </c>
      <c r="F87" s="20" t="str">
        <f>IF(Calculations!C91="","",IF(F88=F86,F88,F88-F86))</f>
        <v/>
      </c>
      <c r="G87" s="21" t="str">
        <f>IF(Calculations!C91="","",IF(G88=G86,G88,G88-1))</f>
        <v/>
      </c>
      <c r="H87" s="14"/>
    </row>
    <row r="88" spans="1:8">
      <c r="A88" s="14"/>
      <c r="B88" s="34"/>
      <c r="C88" s="19" t="s">
        <v>7</v>
      </c>
      <c r="D88" s="24" t="str">
        <f>IF(Calculations!C91="","",IF(Calculations!G85=255,D85,D85+Calculations!G86))</f>
        <v/>
      </c>
      <c r="E88" s="24" t="str">
        <f>IF(Calculations!C91="","",IF(Calculations!O85=255,E85,E85+Calculations!O86))</f>
        <v/>
      </c>
      <c r="F88" s="24" t="str">
        <f>IF(Calculations!C91="","",IF(Calculations!W85=255,F85,F85+Calculations!W86))</f>
        <v/>
      </c>
      <c r="G88" s="25" t="str">
        <f>IF(Calculations!C91="","",IF(Calculations!AE85=255,G85,G85+Calculations!AE86))</f>
        <v/>
      </c>
      <c r="H88" s="14"/>
    </row>
    <row r="89" spans="1:8">
      <c r="A89" s="14"/>
      <c r="B89" s="34"/>
      <c r="C89" s="18" t="s">
        <v>0</v>
      </c>
      <c r="D89" s="28" t="str">
        <f>IF(Calculations!C91="","",Calculations!G85)</f>
        <v/>
      </c>
      <c r="E89" s="28" t="str">
        <f>IF(Calculations!C91="","",Calculations!O85)</f>
        <v/>
      </c>
      <c r="F89" s="28" t="str">
        <f>IF(Calculations!C91="","",Calculations!W85)</f>
        <v/>
      </c>
      <c r="G89" s="29" t="str">
        <f>IF(Calculations!C91="","",Calculations!AE85)</f>
        <v/>
      </c>
      <c r="H89" s="14"/>
    </row>
    <row r="90" spans="1:8">
      <c r="A90" s="14"/>
      <c r="B90" s="34"/>
      <c r="C90" s="18" t="s">
        <v>8</v>
      </c>
      <c r="D90" s="26" t="str">
        <f>IF(Calculations!C91="","",CONCATENATE("\",COUNTIF(Calculations!C82:AH82,1)))</f>
        <v/>
      </c>
      <c r="E90" s="26"/>
      <c r="F90" s="26"/>
      <c r="G90" s="27"/>
      <c r="H90" s="14"/>
    </row>
    <row r="91" spans="1:8" ht="15.75" thickBot="1">
      <c r="A91" s="14"/>
      <c r="B91" s="35"/>
      <c r="C91" s="30" t="s">
        <v>12</v>
      </c>
      <c r="D91" s="31" t="str">
        <f>IF(Calculations!C91="","",IF(E88&gt;254,D88+1,IF(D88=D86,D86,D86+Calculations!G86)))</f>
        <v/>
      </c>
      <c r="E91" s="31" t="str">
        <f>IF(Calculations!C91="","",IF(F88&gt;254,E88+1,IF(E88=E86,E86,E86+Calculations!O86)))</f>
        <v/>
      </c>
      <c r="F91" s="31" t="str">
        <f>IF(Calculations!C91="","",IF(G88&gt;254,F88+1,IF(F88=F86,F86,F86+Calculations!W86)))</f>
        <v/>
      </c>
      <c r="G91" s="32" t="str">
        <f>IF(Calculations!C91="","",IF(G88+1&gt;255,0,G88+1))</f>
        <v/>
      </c>
      <c r="H91" s="14"/>
    </row>
    <row r="92" spans="1:8" ht="15.75" thickTop="1">
      <c r="A92" s="14"/>
      <c r="B92" s="33" t="str">
        <f>CONCATENATE(Calculations!G100,CHAR(10),"Network")</f>
        <v>10th
Network</v>
      </c>
      <c r="C92" s="15" t="s">
        <v>6</v>
      </c>
      <c r="D92" s="36"/>
      <c r="E92" s="36"/>
      <c r="F92" s="36"/>
      <c r="G92" s="37"/>
      <c r="H92" s="14"/>
    </row>
    <row r="93" spans="1:8">
      <c r="A93" s="14"/>
      <c r="B93" s="34"/>
      <c r="C93" s="16" t="s">
        <v>9</v>
      </c>
      <c r="D93" s="38" t="str">
        <f>IF(Calculations!C101="","",IFERROR(HLOOKUP(D92+2,Calculations!C99:AH99,1,FALSE),HLOOKUP(TRUE,Calculations!C97:AH99,3,FALSE)))</f>
        <v/>
      </c>
      <c r="E93" s="38"/>
      <c r="F93" s="38"/>
      <c r="G93" s="39"/>
      <c r="H93" s="14"/>
    </row>
    <row r="94" spans="1:8">
      <c r="A94" s="14"/>
      <c r="B94" s="34"/>
      <c r="C94" s="16" t="s">
        <v>16</v>
      </c>
      <c r="D94" s="38" t="str">
        <f>IF(Calculations!C101="","",D93-2)</f>
        <v/>
      </c>
      <c r="E94" s="38"/>
      <c r="F94" s="38"/>
      <c r="G94" s="39"/>
      <c r="H94" s="14"/>
    </row>
    <row r="95" spans="1:8">
      <c r="A95" s="14"/>
      <c r="B95" s="34"/>
      <c r="C95" s="19" t="s">
        <v>15</v>
      </c>
      <c r="D95" s="24" t="str">
        <f>IF(OR(D92="",D91=""),"",D91)</f>
        <v/>
      </c>
      <c r="E95" s="24" t="str">
        <f>IF(OR(D92="",E91=""),"",E91)</f>
        <v/>
      </c>
      <c r="F95" s="24" t="str">
        <f>IF(OR(D92="",F91=""),"",F91)</f>
        <v/>
      </c>
      <c r="G95" s="25" t="str">
        <f>IF(OR(D92="",G91=""),"",G91)</f>
        <v/>
      </c>
      <c r="H95" s="14"/>
    </row>
    <row r="96" spans="1:8">
      <c r="A96" s="14"/>
      <c r="B96" s="34"/>
      <c r="C96" s="17" t="s">
        <v>10</v>
      </c>
      <c r="D96" s="20" t="str">
        <f>IF(Calculations!C101="","",D95)</f>
        <v/>
      </c>
      <c r="E96" s="20" t="str">
        <f>IF(Calculations!C101="","",E95)</f>
        <v/>
      </c>
      <c r="F96" s="20" t="str">
        <f>IF(Calculations!C101="","",F95)</f>
        <v/>
      </c>
      <c r="G96" s="21" t="str">
        <f>IF(Calculations!C101="","",G95+1)</f>
        <v/>
      </c>
      <c r="H96" s="14"/>
    </row>
    <row r="97" spans="1:8">
      <c r="A97" s="14"/>
      <c r="B97" s="34"/>
      <c r="C97" s="17" t="s">
        <v>11</v>
      </c>
      <c r="D97" s="20" t="str">
        <f>IF(Calculations!C101="","",IF(D98=D96,D98,D98-D96))</f>
        <v/>
      </c>
      <c r="E97" s="20" t="str">
        <f>IF(Calculations!C101="","",IF(E98=E96,E98,E98-E96))</f>
        <v/>
      </c>
      <c r="F97" s="20" t="str">
        <f>IF(Calculations!C101="","",IF(F98=F96,F98,F98-F96))</f>
        <v/>
      </c>
      <c r="G97" s="21" t="str">
        <f>IF(Calculations!C101="","",IF(G98=G96,G98,G98-1))</f>
        <v/>
      </c>
      <c r="H97" s="14"/>
    </row>
    <row r="98" spans="1:8">
      <c r="A98" s="14"/>
      <c r="B98" s="34"/>
      <c r="C98" s="19" t="s">
        <v>7</v>
      </c>
      <c r="D98" s="24" t="str">
        <f>IF(Calculations!C101="","",IF(Calculations!G95=255,D95,D95+Calculations!G96))</f>
        <v/>
      </c>
      <c r="E98" s="24" t="str">
        <f>IF(Calculations!C101="","",IF(Calculations!O95=255,E95,E95+Calculations!O96))</f>
        <v/>
      </c>
      <c r="F98" s="24" t="str">
        <f>IF(Calculations!C101="","",IF(Calculations!W95=255,F95,F95+Calculations!W96))</f>
        <v/>
      </c>
      <c r="G98" s="25" t="str">
        <f>IF(Calculations!C101="","",IF(Calculations!AE95=255,G95,G95+Calculations!AE96))</f>
        <v/>
      </c>
      <c r="H98" s="14"/>
    </row>
    <row r="99" spans="1:8">
      <c r="A99" s="14"/>
      <c r="B99" s="34"/>
      <c r="C99" s="18" t="s">
        <v>0</v>
      </c>
      <c r="D99" s="28" t="str">
        <f>IF(Calculations!C101="","",Calculations!G95)</f>
        <v/>
      </c>
      <c r="E99" s="28" t="str">
        <f>IF(Calculations!C101="","",Calculations!O95)</f>
        <v/>
      </c>
      <c r="F99" s="28" t="str">
        <f>IF(Calculations!C101="","",Calculations!W95)</f>
        <v/>
      </c>
      <c r="G99" s="29" t="str">
        <f>IF(Calculations!C101="","",Calculations!AE95)</f>
        <v/>
      </c>
      <c r="H99" s="14"/>
    </row>
    <row r="100" spans="1:8">
      <c r="A100" s="14"/>
      <c r="B100" s="34"/>
      <c r="C100" s="18" t="s">
        <v>8</v>
      </c>
      <c r="D100" s="26" t="str">
        <f>IF(Calculations!C101="","",CONCATENATE("\",COUNTIF(Calculations!C92:AH92,1)))</f>
        <v/>
      </c>
      <c r="E100" s="26"/>
      <c r="F100" s="26"/>
      <c r="G100" s="27"/>
      <c r="H100" s="14"/>
    </row>
    <row r="101" spans="1:8" ht="15.75" thickBot="1">
      <c r="A101" s="14"/>
      <c r="B101" s="35"/>
      <c r="C101" s="30" t="s">
        <v>12</v>
      </c>
      <c r="D101" s="31" t="str">
        <f>IF(Calculations!C101="","",IF(E98&gt;254,D98+1,IF(D98=D96,D96,D96+Calculations!G96)))</f>
        <v/>
      </c>
      <c r="E101" s="31" t="str">
        <f>IF(Calculations!C101="","",IF(F98&gt;254,E98+1,IF(E98=E96,E96,E96+Calculations!O96)))</f>
        <v/>
      </c>
      <c r="F101" s="31" t="str">
        <f>IF(Calculations!C101="","",IF(G98&gt;254,F98+1,IF(F98=F96,F96,F96+Calculations!W96)))</f>
        <v/>
      </c>
      <c r="G101" s="32" t="str">
        <f>IF(Calculations!C101="","",IF(G98+1&gt;255,0,G98+1))</f>
        <v/>
      </c>
      <c r="H101" s="14"/>
    </row>
    <row r="102" spans="1:8" ht="15.75" thickTop="1">
      <c r="A102" s="14"/>
      <c r="B102" s="33" t="str">
        <f>CONCATENATE(Calculations!G110,CHAR(10),"Network")</f>
        <v>11th
Network</v>
      </c>
      <c r="C102" s="15" t="s">
        <v>6</v>
      </c>
      <c r="D102" s="36"/>
      <c r="E102" s="36"/>
      <c r="F102" s="36"/>
      <c r="G102" s="37"/>
      <c r="H102" s="14"/>
    </row>
    <row r="103" spans="1:8">
      <c r="A103" s="14"/>
      <c r="B103" s="34"/>
      <c r="C103" s="16" t="s">
        <v>9</v>
      </c>
      <c r="D103" s="38" t="str">
        <f>IF(Calculations!C111="","",IFERROR(HLOOKUP(D102+2,Calculations!C109:AH109,1,FALSE),HLOOKUP(TRUE,Calculations!C107:AH109,3,FALSE)))</f>
        <v/>
      </c>
      <c r="E103" s="38"/>
      <c r="F103" s="38"/>
      <c r="G103" s="39"/>
      <c r="H103" s="14"/>
    </row>
    <row r="104" spans="1:8">
      <c r="A104" s="14"/>
      <c r="B104" s="34"/>
      <c r="C104" s="16" t="s">
        <v>16</v>
      </c>
      <c r="D104" s="38" t="str">
        <f>IF(Calculations!C111="","",D103-2)</f>
        <v/>
      </c>
      <c r="E104" s="38"/>
      <c r="F104" s="38"/>
      <c r="G104" s="39"/>
      <c r="H104" s="14"/>
    </row>
    <row r="105" spans="1:8">
      <c r="A105" s="14"/>
      <c r="B105" s="34"/>
      <c r="C105" s="19" t="s">
        <v>15</v>
      </c>
      <c r="D105" s="24" t="str">
        <f>IF(OR(D102="",D101=""),"",D101)</f>
        <v/>
      </c>
      <c r="E105" s="24" t="str">
        <f>IF(OR(D102="",E101=""),"",E101)</f>
        <v/>
      </c>
      <c r="F105" s="24" t="str">
        <f>IF(OR(D102="",F101=""),"",F101)</f>
        <v/>
      </c>
      <c r="G105" s="25" t="str">
        <f>IF(OR(D102="",G101=""),"",G101)</f>
        <v/>
      </c>
      <c r="H105" s="14"/>
    </row>
    <row r="106" spans="1:8">
      <c r="A106" s="14"/>
      <c r="B106" s="34"/>
      <c r="C106" s="17" t="s">
        <v>10</v>
      </c>
      <c r="D106" s="20" t="str">
        <f>IF(Calculations!C111="","",D105)</f>
        <v/>
      </c>
      <c r="E106" s="20" t="str">
        <f>IF(Calculations!C111="","",E105)</f>
        <v/>
      </c>
      <c r="F106" s="20" t="str">
        <f>IF(Calculations!C111="","",F105)</f>
        <v/>
      </c>
      <c r="G106" s="21" t="str">
        <f>IF(Calculations!C111="","",G105+1)</f>
        <v/>
      </c>
      <c r="H106" s="14"/>
    </row>
    <row r="107" spans="1:8">
      <c r="A107" s="14"/>
      <c r="B107" s="34"/>
      <c r="C107" s="17" t="s">
        <v>11</v>
      </c>
      <c r="D107" s="20" t="str">
        <f>IF(Calculations!C111="","",IF(D108=D106,D108,D108-D106))</f>
        <v/>
      </c>
      <c r="E107" s="20" t="str">
        <f>IF(Calculations!C111="","",IF(E108=E106,E108,E108-E106))</f>
        <v/>
      </c>
      <c r="F107" s="20" t="str">
        <f>IF(Calculations!C111="","",IF(F108=F106,F108,F108-F106))</f>
        <v/>
      </c>
      <c r="G107" s="21" t="str">
        <f>IF(Calculations!C111="","",IF(G108=G106,G108,G108-1))</f>
        <v/>
      </c>
      <c r="H107" s="14"/>
    </row>
    <row r="108" spans="1:8">
      <c r="A108" s="14"/>
      <c r="B108" s="34"/>
      <c r="C108" s="19" t="s">
        <v>7</v>
      </c>
      <c r="D108" s="24" t="str">
        <f>IF(Calculations!C111="","",IF(Calculations!G105=255,D105,D105+Calculations!G106))</f>
        <v/>
      </c>
      <c r="E108" s="24" t="str">
        <f>IF(Calculations!C111="","",IF(Calculations!O105=255,E105,E105+Calculations!O106))</f>
        <v/>
      </c>
      <c r="F108" s="24" t="str">
        <f>IF(Calculations!C111="","",IF(Calculations!W105=255,F105,F105+Calculations!W106))</f>
        <v/>
      </c>
      <c r="G108" s="25" t="str">
        <f>IF(Calculations!C111="","",IF(Calculations!AE105=255,G105,G105+Calculations!AE106))</f>
        <v/>
      </c>
      <c r="H108" s="14"/>
    </row>
    <row r="109" spans="1:8">
      <c r="A109" s="14"/>
      <c r="B109" s="34"/>
      <c r="C109" s="18" t="s">
        <v>0</v>
      </c>
      <c r="D109" s="28" t="str">
        <f>IF(Calculations!C111="","",Calculations!G105)</f>
        <v/>
      </c>
      <c r="E109" s="28" t="str">
        <f>IF(Calculations!C111="","",Calculations!O105)</f>
        <v/>
      </c>
      <c r="F109" s="28" t="str">
        <f>IF(Calculations!C111="","",Calculations!W105)</f>
        <v/>
      </c>
      <c r="G109" s="29" t="str">
        <f>IF(Calculations!C111="","",Calculations!AE105)</f>
        <v/>
      </c>
      <c r="H109" s="14"/>
    </row>
    <row r="110" spans="1:8">
      <c r="A110" s="14"/>
      <c r="B110" s="34"/>
      <c r="C110" s="18" t="s">
        <v>8</v>
      </c>
      <c r="D110" s="26" t="str">
        <f>IF(Calculations!C111="","",CONCATENATE("\",COUNTIF(Calculations!C102:AH102,1)))</f>
        <v/>
      </c>
      <c r="E110" s="26"/>
      <c r="F110" s="26"/>
      <c r="G110" s="27"/>
      <c r="H110" s="14"/>
    </row>
    <row r="111" spans="1:8" ht="15.75" thickBot="1">
      <c r="A111" s="14"/>
      <c r="B111" s="35"/>
      <c r="C111" s="30" t="s">
        <v>12</v>
      </c>
      <c r="D111" s="31" t="str">
        <f>IF(Calculations!C111="","",IF(E108&gt;254,D108+1,IF(D108=D106,D106,D106+Calculations!G106)))</f>
        <v/>
      </c>
      <c r="E111" s="31" t="str">
        <f>IF(Calculations!C111="","",IF(F108&gt;254,E108+1,IF(E108=E106,E106,E106+Calculations!O106)))</f>
        <v/>
      </c>
      <c r="F111" s="31" t="str">
        <f>IF(Calculations!C111="","",IF(G108&gt;254,F108+1,IF(F108=F106,F106,F106+Calculations!W106)))</f>
        <v/>
      </c>
      <c r="G111" s="32" t="str">
        <f>IF(Calculations!C111="","",IF(G108+1&gt;255,0,G108+1))</f>
        <v/>
      </c>
      <c r="H111" s="14"/>
    </row>
    <row r="112" spans="1:8" ht="15.75" thickTop="1">
      <c r="A112" s="14"/>
      <c r="B112" s="33" t="str">
        <f>CONCATENATE(Calculations!G120,CHAR(10),"Network")</f>
        <v>12th
Network</v>
      </c>
      <c r="C112" s="15" t="s">
        <v>6</v>
      </c>
      <c r="D112" s="36"/>
      <c r="E112" s="36"/>
      <c r="F112" s="36"/>
      <c r="G112" s="37"/>
      <c r="H112" s="14"/>
    </row>
    <row r="113" spans="1:8">
      <c r="A113" s="14"/>
      <c r="B113" s="34"/>
      <c r="C113" s="16" t="s">
        <v>9</v>
      </c>
      <c r="D113" s="38" t="str">
        <f>IF(Calculations!C121="","",IFERROR(HLOOKUP(D112+2,Calculations!C119:AH119,1,FALSE),HLOOKUP(TRUE,Calculations!C117:AH119,3,FALSE)))</f>
        <v/>
      </c>
      <c r="E113" s="38"/>
      <c r="F113" s="38"/>
      <c r="G113" s="39"/>
      <c r="H113" s="14"/>
    </row>
    <row r="114" spans="1:8">
      <c r="A114" s="14"/>
      <c r="B114" s="34"/>
      <c r="C114" s="16" t="s">
        <v>16</v>
      </c>
      <c r="D114" s="38" t="str">
        <f>IF(Calculations!C121="","",D113-2)</f>
        <v/>
      </c>
      <c r="E114" s="38"/>
      <c r="F114" s="38"/>
      <c r="G114" s="39"/>
      <c r="H114" s="14"/>
    </row>
    <row r="115" spans="1:8">
      <c r="A115" s="14"/>
      <c r="B115" s="34"/>
      <c r="C115" s="19" t="s">
        <v>15</v>
      </c>
      <c r="D115" s="24" t="str">
        <f>IF(OR(D112="",D111=""),"",D111)</f>
        <v/>
      </c>
      <c r="E115" s="24" t="str">
        <f>IF(OR(D112="",E111=""),"",E111)</f>
        <v/>
      </c>
      <c r="F115" s="24" t="str">
        <f>IF(OR(D112="",F111=""),"",F111)</f>
        <v/>
      </c>
      <c r="G115" s="25" t="str">
        <f>IF(OR(D112="",G111=""),"",G111)</f>
        <v/>
      </c>
      <c r="H115" s="14"/>
    </row>
    <row r="116" spans="1:8">
      <c r="A116" s="14"/>
      <c r="B116" s="34"/>
      <c r="C116" s="17" t="s">
        <v>10</v>
      </c>
      <c r="D116" s="20" t="str">
        <f>IF(Calculations!C121="","",D115)</f>
        <v/>
      </c>
      <c r="E116" s="20" t="str">
        <f>IF(Calculations!C121="","",E115)</f>
        <v/>
      </c>
      <c r="F116" s="20" t="str">
        <f>IF(Calculations!C121="","",F115)</f>
        <v/>
      </c>
      <c r="G116" s="21" t="str">
        <f>IF(Calculations!C121="","",G115+1)</f>
        <v/>
      </c>
      <c r="H116" s="14"/>
    </row>
    <row r="117" spans="1:8">
      <c r="A117" s="14"/>
      <c r="B117" s="34"/>
      <c r="C117" s="17" t="s">
        <v>11</v>
      </c>
      <c r="D117" s="20" t="str">
        <f>IF(Calculations!C121="","",IF(D118=D116,D118,D118-D116))</f>
        <v/>
      </c>
      <c r="E117" s="20" t="str">
        <f>IF(Calculations!C121="","",IF(E118=E116,E118,E118-E116))</f>
        <v/>
      </c>
      <c r="F117" s="20" t="str">
        <f>IF(Calculations!C121="","",IF(F118=F116,F118,F118-F116))</f>
        <v/>
      </c>
      <c r="G117" s="21" t="str">
        <f>IF(Calculations!C121="","",IF(G118=G116,G118,G118-1))</f>
        <v/>
      </c>
      <c r="H117" s="14"/>
    </row>
    <row r="118" spans="1:8">
      <c r="A118" s="14"/>
      <c r="B118" s="34"/>
      <c r="C118" s="19" t="s">
        <v>7</v>
      </c>
      <c r="D118" s="24" t="str">
        <f>IF(Calculations!C121="","",IF(Calculations!G115=255,D115,D115+Calculations!G116))</f>
        <v/>
      </c>
      <c r="E118" s="24" t="str">
        <f>IF(Calculations!C121="","",IF(Calculations!O115=255,E115,E115+Calculations!O116))</f>
        <v/>
      </c>
      <c r="F118" s="24" t="str">
        <f>IF(Calculations!C121="","",IF(Calculations!W115=255,F115,F115+Calculations!W116))</f>
        <v/>
      </c>
      <c r="G118" s="25" t="str">
        <f>IF(Calculations!C121="","",IF(Calculations!AE115=255,G115,G115+Calculations!AE116))</f>
        <v/>
      </c>
      <c r="H118" s="14"/>
    </row>
    <row r="119" spans="1:8">
      <c r="A119" s="14"/>
      <c r="B119" s="34"/>
      <c r="C119" s="18" t="s">
        <v>0</v>
      </c>
      <c r="D119" s="28" t="str">
        <f>IF(Calculations!C121="","",Calculations!G115)</f>
        <v/>
      </c>
      <c r="E119" s="28" t="str">
        <f>IF(Calculations!C121="","",Calculations!O115)</f>
        <v/>
      </c>
      <c r="F119" s="28" t="str">
        <f>IF(Calculations!C121="","",Calculations!W115)</f>
        <v/>
      </c>
      <c r="G119" s="29" t="str">
        <f>IF(Calculations!C121="","",Calculations!AE115)</f>
        <v/>
      </c>
      <c r="H119" s="14"/>
    </row>
    <row r="120" spans="1:8">
      <c r="A120" s="14"/>
      <c r="B120" s="34"/>
      <c r="C120" s="18" t="s">
        <v>8</v>
      </c>
      <c r="D120" s="26" t="str">
        <f>IF(Calculations!C121="","",CONCATENATE("\",COUNTIF(Calculations!C112:AH112,1)))</f>
        <v/>
      </c>
      <c r="E120" s="26"/>
      <c r="F120" s="26"/>
      <c r="G120" s="27"/>
      <c r="H120" s="14"/>
    </row>
    <row r="121" spans="1:8" ht="15.75" thickBot="1">
      <c r="A121" s="14"/>
      <c r="B121" s="35"/>
      <c r="C121" s="30" t="s">
        <v>12</v>
      </c>
      <c r="D121" s="31" t="str">
        <f>IF(Calculations!C121="","",IF(E118&gt;254,D118+1,IF(D118=D116,D116,D116+Calculations!G116)))</f>
        <v/>
      </c>
      <c r="E121" s="31" t="str">
        <f>IF(Calculations!C121="","",IF(F118&gt;254,E118+1,IF(E118=E116,E116,E116+Calculations!O116)))</f>
        <v/>
      </c>
      <c r="F121" s="31" t="str">
        <f>IF(Calculations!C121="","",IF(G118&gt;254,F118+1,IF(F118=F116,F116,F116+Calculations!W116)))</f>
        <v/>
      </c>
      <c r="G121" s="32" t="str">
        <f>IF(Calculations!C121="","",IF(G118+1&gt;255,0,G118+1))</f>
        <v/>
      </c>
      <c r="H121" s="14"/>
    </row>
    <row r="122" spans="1:8" ht="15.75" thickTop="1">
      <c r="A122" s="14"/>
      <c r="B122" s="33" t="str">
        <f>CONCATENATE(Calculations!G130,CHAR(10),"Network")</f>
        <v>13th
Network</v>
      </c>
      <c r="C122" s="15" t="s">
        <v>6</v>
      </c>
      <c r="D122" s="36"/>
      <c r="E122" s="36"/>
      <c r="F122" s="36"/>
      <c r="G122" s="37"/>
      <c r="H122" s="14"/>
    </row>
    <row r="123" spans="1:8">
      <c r="A123" s="14"/>
      <c r="B123" s="34"/>
      <c r="C123" s="16" t="s">
        <v>9</v>
      </c>
      <c r="D123" s="38" t="str">
        <f>IF(Calculations!C131="","",IFERROR(HLOOKUP(D122+2,Calculations!C129:AH129,1,FALSE),HLOOKUP(TRUE,Calculations!C127:AH129,3,FALSE)))</f>
        <v/>
      </c>
      <c r="E123" s="38"/>
      <c r="F123" s="38"/>
      <c r="G123" s="39"/>
      <c r="H123" s="14"/>
    </row>
    <row r="124" spans="1:8">
      <c r="A124" s="14"/>
      <c r="B124" s="34"/>
      <c r="C124" s="16" t="s">
        <v>16</v>
      </c>
      <c r="D124" s="38" t="str">
        <f>IF(Calculations!C131="","",D123-2)</f>
        <v/>
      </c>
      <c r="E124" s="38"/>
      <c r="F124" s="38"/>
      <c r="G124" s="39"/>
      <c r="H124" s="14"/>
    </row>
    <row r="125" spans="1:8">
      <c r="A125" s="14"/>
      <c r="B125" s="34"/>
      <c r="C125" s="19" t="s">
        <v>15</v>
      </c>
      <c r="D125" s="24" t="str">
        <f>IF(OR(D122="",D121=""),"",D121)</f>
        <v/>
      </c>
      <c r="E125" s="24" t="str">
        <f>IF(OR(D122="",E121=""),"",E121)</f>
        <v/>
      </c>
      <c r="F125" s="24" t="str">
        <f>IF(OR(D122="",F121=""),"",F121)</f>
        <v/>
      </c>
      <c r="G125" s="25" t="str">
        <f>IF(OR(D122="",G121=""),"",G121)</f>
        <v/>
      </c>
      <c r="H125" s="14"/>
    </row>
    <row r="126" spans="1:8">
      <c r="A126" s="14"/>
      <c r="B126" s="34"/>
      <c r="C126" s="17" t="s">
        <v>10</v>
      </c>
      <c r="D126" s="20" t="str">
        <f>IF(Calculations!C131="","",D125)</f>
        <v/>
      </c>
      <c r="E126" s="20" t="str">
        <f>IF(Calculations!C131="","",E125)</f>
        <v/>
      </c>
      <c r="F126" s="20" t="str">
        <f>IF(Calculations!C131="","",F125)</f>
        <v/>
      </c>
      <c r="G126" s="21" t="str">
        <f>IF(Calculations!C131="","",G125+1)</f>
        <v/>
      </c>
      <c r="H126" s="14"/>
    </row>
    <row r="127" spans="1:8">
      <c r="A127" s="14"/>
      <c r="B127" s="34"/>
      <c r="C127" s="17" t="s">
        <v>11</v>
      </c>
      <c r="D127" s="20" t="str">
        <f>IF(Calculations!C131="","",IF(D128=D126,D128,D128-D126))</f>
        <v/>
      </c>
      <c r="E127" s="20" t="str">
        <f>IF(Calculations!C131="","",IF(E128=E126,E128,E128-E126))</f>
        <v/>
      </c>
      <c r="F127" s="20" t="str">
        <f>IF(Calculations!C131="","",IF(F128=F126,F128,F128-F126))</f>
        <v/>
      </c>
      <c r="G127" s="21" t="str">
        <f>IF(Calculations!C131="","",IF(G128=G126,G128,G128-1))</f>
        <v/>
      </c>
      <c r="H127" s="14"/>
    </row>
    <row r="128" spans="1:8">
      <c r="A128" s="14"/>
      <c r="B128" s="34"/>
      <c r="C128" s="19" t="s">
        <v>7</v>
      </c>
      <c r="D128" s="24" t="str">
        <f>IF(Calculations!C131="","",IF(Calculations!G125=255,D125,D125+Calculations!G126))</f>
        <v/>
      </c>
      <c r="E128" s="24" t="str">
        <f>IF(Calculations!C131="","",IF(Calculations!O125=255,E125,E125+Calculations!O126))</f>
        <v/>
      </c>
      <c r="F128" s="24" t="str">
        <f>IF(Calculations!C131="","",IF(Calculations!W125=255,F125,F125+Calculations!W126))</f>
        <v/>
      </c>
      <c r="G128" s="25" t="str">
        <f>IF(Calculations!C131="","",IF(Calculations!AE125=255,G125,G125+Calculations!AE126))</f>
        <v/>
      </c>
      <c r="H128" s="14"/>
    </row>
    <row r="129" spans="1:8">
      <c r="A129" s="14"/>
      <c r="B129" s="34"/>
      <c r="C129" s="18" t="s">
        <v>0</v>
      </c>
      <c r="D129" s="28" t="str">
        <f>IF(Calculations!C131="","",Calculations!G125)</f>
        <v/>
      </c>
      <c r="E129" s="28" t="str">
        <f>IF(Calculations!C131="","",Calculations!O125)</f>
        <v/>
      </c>
      <c r="F129" s="28" t="str">
        <f>IF(Calculations!C131="","",Calculations!W125)</f>
        <v/>
      </c>
      <c r="G129" s="29" t="str">
        <f>IF(Calculations!C131="","",Calculations!AE125)</f>
        <v/>
      </c>
      <c r="H129" s="14"/>
    </row>
    <row r="130" spans="1:8">
      <c r="A130" s="14"/>
      <c r="B130" s="34"/>
      <c r="C130" s="18" t="s">
        <v>8</v>
      </c>
      <c r="D130" s="26" t="str">
        <f>IF(Calculations!C131="","",CONCATENATE("\",COUNTIF(Calculations!C122:AH122,1)))</f>
        <v/>
      </c>
      <c r="E130" s="26"/>
      <c r="F130" s="26"/>
      <c r="G130" s="27"/>
      <c r="H130" s="14"/>
    </row>
    <row r="131" spans="1:8" ht="15.75" thickBot="1">
      <c r="A131" s="14"/>
      <c r="B131" s="35"/>
      <c r="C131" s="30" t="s">
        <v>12</v>
      </c>
      <c r="D131" s="31" t="str">
        <f>IF(Calculations!C131="","",IF(E128&gt;254,D128+1,IF(D128=D126,D126,D126+Calculations!G126)))</f>
        <v/>
      </c>
      <c r="E131" s="31" t="str">
        <f>IF(Calculations!C131="","",IF(F128&gt;254,E128+1,IF(E128=E126,E126,E126+Calculations!O126)))</f>
        <v/>
      </c>
      <c r="F131" s="31" t="str">
        <f>IF(Calculations!C131="","",IF(G128&gt;254,F128+1,IF(F128=F126,F126,F126+Calculations!W126)))</f>
        <v/>
      </c>
      <c r="G131" s="32" t="str">
        <f>IF(Calculations!C131="","",IF(G128+1&gt;255,0,G128+1))</f>
        <v/>
      </c>
      <c r="H131" s="14"/>
    </row>
    <row r="132" spans="1:8" ht="15.75" thickTop="1">
      <c r="A132" s="14"/>
      <c r="B132" s="33" t="str">
        <f>CONCATENATE(Calculations!G140,CHAR(10),"Network")</f>
        <v>14th
Network</v>
      </c>
      <c r="C132" s="15" t="s">
        <v>6</v>
      </c>
      <c r="D132" s="36"/>
      <c r="E132" s="36"/>
      <c r="F132" s="36"/>
      <c r="G132" s="37"/>
      <c r="H132" s="14"/>
    </row>
    <row r="133" spans="1:8">
      <c r="A133" s="14"/>
      <c r="B133" s="34"/>
      <c r="C133" s="16" t="s">
        <v>9</v>
      </c>
      <c r="D133" s="38" t="str">
        <f>IF(Calculations!C141="","",IFERROR(HLOOKUP(D132+2,Calculations!C139:AH139,1,FALSE),HLOOKUP(TRUE,Calculations!C137:AH139,3,FALSE)))</f>
        <v/>
      </c>
      <c r="E133" s="38"/>
      <c r="F133" s="38"/>
      <c r="G133" s="39"/>
      <c r="H133" s="14"/>
    </row>
    <row r="134" spans="1:8">
      <c r="A134" s="14"/>
      <c r="B134" s="34"/>
      <c r="C134" s="16" t="s">
        <v>16</v>
      </c>
      <c r="D134" s="38" t="str">
        <f>IF(Calculations!C141="","",D133-2)</f>
        <v/>
      </c>
      <c r="E134" s="38"/>
      <c r="F134" s="38"/>
      <c r="G134" s="39"/>
      <c r="H134" s="14"/>
    </row>
    <row r="135" spans="1:8">
      <c r="A135" s="14"/>
      <c r="B135" s="34"/>
      <c r="C135" s="19" t="s">
        <v>15</v>
      </c>
      <c r="D135" s="24" t="str">
        <f>IF(OR(D132="",D131=""),"",D131)</f>
        <v/>
      </c>
      <c r="E135" s="24" t="str">
        <f>IF(OR(D132="",E131=""),"",E131)</f>
        <v/>
      </c>
      <c r="F135" s="24" t="str">
        <f>IF(OR(D132="",F131=""),"",F131)</f>
        <v/>
      </c>
      <c r="G135" s="25" t="str">
        <f>IF(OR(D132="",G131=""),"",G131)</f>
        <v/>
      </c>
      <c r="H135" s="14"/>
    </row>
    <row r="136" spans="1:8">
      <c r="A136" s="14"/>
      <c r="B136" s="34"/>
      <c r="C136" s="17" t="s">
        <v>10</v>
      </c>
      <c r="D136" s="20" t="str">
        <f>IF(Calculations!C141="","",D135)</f>
        <v/>
      </c>
      <c r="E136" s="20" t="str">
        <f>IF(Calculations!C141="","",E135)</f>
        <v/>
      </c>
      <c r="F136" s="20" t="str">
        <f>IF(Calculations!C141="","",F135)</f>
        <v/>
      </c>
      <c r="G136" s="21" t="str">
        <f>IF(Calculations!C141="","",G135+1)</f>
        <v/>
      </c>
      <c r="H136" s="14"/>
    </row>
    <row r="137" spans="1:8">
      <c r="A137" s="14"/>
      <c r="B137" s="34"/>
      <c r="C137" s="17" t="s">
        <v>11</v>
      </c>
      <c r="D137" s="20" t="str">
        <f>IF(Calculations!C141="","",IF(D138=D136,D138,D138-D136))</f>
        <v/>
      </c>
      <c r="E137" s="20" t="str">
        <f>IF(Calculations!C141="","",IF(E138=E136,E138,E138-E136))</f>
        <v/>
      </c>
      <c r="F137" s="20" t="str">
        <f>IF(Calculations!C141="","",IF(F138=F136,F138,F138-F136))</f>
        <v/>
      </c>
      <c r="G137" s="21" t="str">
        <f>IF(Calculations!C141="","",IF(G138=G136,G138,G138-1))</f>
        <v/>
      </c>
      <c r="H137" s="14"/>
    </row>
    <row r="138" spans="1:8">
      <c r="A138" s="14"/>
      <c r="B138" s="34"/>
      <c r="C138" s="19" t="s">
        <v>7</v>
      </c>
      <c r="D138" s="24" t="str">
        <f>IF(Calculations!C141="","",IF(Calculations!G135=255,D135,D135+Calculations!G136))</f>
        <v/>
      </c>
      <c r="E138" s="24" t="str">
        <f>IF(Calculations!C141="","",IF(Calculations!O135=255,E135,E135+Calculations!O136))</f>
        <v/>
      </c>
      <c r="F138" s="24" t="str">
        <f>IF(Calculations!C141="","",IF(Calculations!W135=255,F135,F135+Calculations!W136))</f>
        <v/>
      </c>
      <c r="G138" s="25" t="str">
        <f>IF(Calculations!C141="","",IF(Calculations!AE135=255,G135,G135+Calculations!AE136))</f>
        <v/>
      </c>
      <c r="H138" s="14"/>
    </row>
    <row r="139" spans="1:8">
      <c r="A139" s="14"/>
      <c r="B139" s="34"/>
      <c r="C139" s="18" t="s">
        <v>0</v>
      </c>
      <c r="D139" s="28" t="str">
        <f>IF(Calculations!C141="","",Calculations!G135)</f>
        <v/>
      </c>
      <c r="E139" s="28" t="str">
        <f>IF(Calculations!C141="","",Calculations!O135)</f>
        <v/>
      </c>
      <c r="F139" s="28" t="str">
        <f>IF(Calculations!C141="","",Calculations!W135)</f>
        <v/>
      </c>
      <c r="G139" s="29" t="str">
        <f>IF(Calculations!C141="","",Calculations!AE135)</f>
        <v/>
      </c>
      <c r="H139" s="14"/>
    </row>
    <row r="140" spans="1:8">
      <c r="A140" s="14"/>
      <c r="B140" s="34"/>
      <c r="C140" s="18" t="s">
        <v>8</v>
      </c>
      <c r="D140" s="26" t="str">
        <f>IF(Calculations!C141="","",CONCATENATE("\",COUNTIF(Calculations!C132:AH132,1)))</f>
        <v/>
      </c>
      <c r="E140" s="26"/>
      <c r="F140" s="26"/>
      <c r="G140" s="27"/>
      <c r="H140" s="14"/>
    </row>
    <row r="141" spans="1:8" ht="15.75" thickBot="1">
      <c r="A141" s="14"/>
      <c r="B141" s="35"/>
      <c r="C141" s="30" t="s">
        <v>12</v>
      </c>
      <c r="D141" s="31" t="str">
        <f>IF(Calculations!C141="","",IF(E138&gt;254,D138+1,IF(D138=D136,D136,D136+Calculations!G136)))</f>
        <v/>
      </c>
      <c r="E141" s="31" t="str">
        <f>IF(Calculations!C141="","",IF(F138&gt;254,E138+1,IF(E138=E136,E136,E136+Calculations!O136)))</f>
        <v/>
      </c>
      <c r="F141" s="31" t="str">
        <f>IF(Calculations!C141="","",IF(G138&gt;254,F138+1,IF(F138=F136,F136,F136+Calculations!W136)))</f>
        <v/>
      </c>
      <c r="G141" s="32" t="str">
        <f>IF(Calculations!C141="","",IF(G138+1&gt;255,0,G138+1))</f>
        <v/>
      </c>
      <c r="H141" s="14"/>
    </row>
    <row r="142" spans="1:8" ht="15.75" thickTop="1">
      <c r="A142" s="14"/>
      <c r="B142" s="33" t="str">
        <f>CONCATENATE(Calculations!G150,CHAR(10),"Network")</f>
        <v>15th
Network</v>
      </c>
      <c r="C142" s="15" t="s">
        <v>6</v>
      </c>
      <c r="D142" s="36"/>
      <c r="E142" s="36"/>
      <c r="F142" s="36"/>
      <c r="G142" s="37"/>
      <c r="H142" s="14"/>
    </row>
    <row r="143" spans="1:8">
      <c r="A143" s="14"/>
      <c r="B143" s="34"/>
      <c r="C143" s="16" t="s">
        <v>9</v>
      </c>
      <c r="D143" s="38" t="str">
        <f>IF(Calculations!C151="","",IFERROR(HLOOKUP(D142+2,Calculations!C149:AH149,1,FALSE),HLOOKUP(TRUE,Calculations!C147:AH149,3,FALSE)))</f>
        <v/>
      </c>
      <c r="E143" s="38"/>
      <c r="F143" s="38"/>
      <c r="G143" s="39"/>
      <c r="H143" s="14"/>
    </row>
    <row r="144" spans="1:8">
      <c r="A144" s="14"/>
      <c r="B144" s="34"/>
      <c r="C144" s="16" t="s">
        <v>16</v>
      </c>
      <c r="D144" s="38" t="str">
        <f>IF(Calculations!C151="","",D143-2)</f>
        <v/>
      </c>
      <c r="E144" s="38"/>
      <c r="F144" s="38"/>
      <c r="G144" s="39"/>
      <c r="H144" s="14"/>
    </row>
    <row r="145" spans="1:8">
      <c r="A145" s="14"/>
      <c r="B145" s="34"/>
      <c r="C145" s="19" t="s">
        <v>15</v>
      </c>
      <c r="D145" s="24" t="str">
        <f>IF(OR(D142="",D141=""),"",D141)</f>
        <v/>
      </c>
      <c r="E145" s="24" t="str">
        <f>IF(OR(D142="",E141=""),"",E141)</f>
        <v/>
      </c>
      <c r="F145" s="24" t="str">
        <f>IF(OR(D142="",F141=""),"",F141)</f>
        <v/>
      </c>
      <c r="G145" s="25" t="str">
        <f>IF(OR(D142="",G141=""),"",G141)</f>
        <v/>
      </c>
      <c r="H145" s="14"/>
    </row>
    <row r="146" spans="1:8">
      <c r="A146" s="14"/>
      <c r="B146" s="34"/>
      <c r="C146" s="17" t="s">
        <v>10</v>
      </c>
      <c r="D146" s="20" t="str">
        <f>IF(Calculations!C151="","",D145)</f>
        <v/>
      </c>
      <c r="E146" s="20" t="str">
        <f>IF(Calculations!C151="","",E145)</f>
        <v/>
      </c>
      <c r="F146" s="20" t="str">
        <f>IF(Calculations!C151="","",F145)</f>
        <v/>
      </c>
      <c r="G146" s="21" t="str">
        <f>IF(Calculations!C151="","",G145+1)</f>
        <v/>
      </c>
      <c r="H146" s="14"/>
    </row>
    <row r="147" spans="1:8">
      <c r="A147" s="14"/>
      <c r="B147" s="34"/>
      <c r="C147" s="17" t="s">
        <v>11</v>
      </c>
      <c r="D147" s="20" t="str">
        <f>IF(Calculations!C151="","",IF(D148=D146,D148,D148-D146))</f>
        <v/>
      </c>
      <c r="E147" s="20" t="str">
        <f>IF(Calculations!C151="","",IF(E148=E146,E148,E148-E146))</f>
        <v/>
      </c>
      <c r="F147" s="20" t="str">
        <f>IF(Calculations!C151="","",IF(F148=F146,F148,F148-F146))</f>
        <v/>
      </c>
      <c r="G147" s="21" t="str">
        <f>IF(Calculations!C151="","",IF(G148=G146,G148,G148-1))</f>
        <v/>
      </c>
      <c r="H147" s="14"/>
    </row>
    <row r="148" spans="1:8">
      <c r="A148" s="14"/>
      <c r="B148" s="34"/>
      <c r="C148" s="19" t="s">
        <v>7</v>
      </c>
      <c r="D148" s="24" t="str">
        <f>IF(Calculations!C151="","",IF(Calculations!G145=255,D145,D145+Calculations!G146))</f>
        <v/>
      </c>
      <c r="E148" s="24" t="str">
        <f>IF(Calculations!C151="","",IF(Calculations!O145=255,E145,E145+Calculations!O146))</f>
        <v/>
      </c>
      <c r="F148" s="24" t="str">
        <f>IF(Calculations!C151="","",IF(Calculations!W145=255,F145,F145+Calculations!W146))</f>
        <v/>
      </c>
      <c r="G148" s="25" t="str">
        <f>IF(Calculations!C151="","",IF(Calculations!AE145=255,G145,G145+Calculations!AE146))</f>
        <v/>
      </c>
      <c r="H148" s="14"/>
    </row>
    <row r="149" spans="1:8">
      <c r="A149" s="14"/>
      <c r="B149" s="34"/>
      <c r="C149" s="18" t="s">
        <v>0</v>
      </c>
      <c r="D149" s="28" t="str">
        <f>IF(Calculations!C151="","",Calculations!G145)</f>
        <v/>
      </c>
      <c r="E149" s="28" t="str">
        <f>IF(Calculations!C151="","",Calculations!O145)</f>
        <v/>
      </c>
      <c r="F149" s="28" t="str">
        <f>IF(Calculations!C151="","",Calculations!W145)</f>
        <v/>
      </c>
      <c r="G149" s="29" t="str">
        <f>IF(Calculations!C151="","",Calculations!AE145)</f>
        <v/>
      </c>
      <c r="H149" s="14"/>
    </row>
    <row r="150" spans="1:8">
      <c r="A150" s="14"/>
      <c r="B150" s="34"/>
      <c r="C150" s="18" t="s">
        <v>8</v>
      </c>
      <c r="D150" s="26" t="str">
        <f>IF(Calculations!C151="","",CONCATENATE("\",COUNTIF(Calculations!C142:AH142,1)))</f>
        <v/>
      </c>
      <c r="E150" s="26"/>
      <c r="F150" s="26"/>
      <c r="G150" s="27"/>
      <c r="H150" s="14"/>
    </row>
    <row r="151" spans="1:8" ht="15.75" thickBot="1">
      <c r="A151" s="14"/>
      <c r="B151" s="35"/>
      <c r="C151" s="30" t="s">
        <v>12</v>
      </c>
      <c r="D151" s="31" t="str">
        <f>IF(Calculations!C151="","",IF(E148&gt;254,D148+1,IF(D148=D146,D146,D146+Calculations!G146)))</f>
        <v/>
      </c>
      <c r="E151" s="31" t="str">
        <f>IF(Calculations!C151="","",IF(F148&gt;254,E148+1,IF(E148=E146,E146,E146+Calculations!O146)))</f>
        <v/>
      </c>
      <c r="F151" s="31" t="str">
        <f>IF(Calculations!C151="","",IF(G148&gt;254,F148+1,IF(F148=F146,F146,F146+Calculations!W146)))</f>
        <v/>
      </c>
      <c r="G151" s="32" t="str">
        <f>IF(Calculations!C151="","",IF(G148+1&gt;255,0,G148+1))</f>
        <v/>
      </c>
      <c r="H151" s="14"/>
    </row>
    <row r="152" spans="1:8" ht="15.75" thickTop="1">
      <c r="A152" s="14"/>
      <c r="B152" s="33" t="str">
        <f>CONCATENATE(Calculations!G160,CHAR(10),"Network")</f>
        <v>16th
Network</v>
      </c>
      <c r="C152" s="15" t="s">
        <v>6</v>
      </c>
      <c r="D152" s="36"/>
      <c r="E152" s="36"/>
      <c r="F152" s="36"/>
      <c r="G152" s="37"/>
      <c r="H152" s="14"/>
    </row>
    <row r="153" spans="1:8">
      <c r="A153" s="14"/>
      <c r="B153" s="34"/>
      <c r="C153" s="16" t="s">
        <v>9</v>
      </c>
      <c r="D153" s="38" t="str">
        <f>IF(Calculations!C161="","",IFERROR(HLOOKUP(D152+2,Calculations!C159:AH159,1,FALSE),HLOOKUP(TRUE,Calculations!C157:AH159,3,FALSE)))</f>
        <v/>
      </c>
      <c r="E153" s="38"/>
      <c r="F153" s="38"/>
      <c r="G153" s="39"/>
      <c r="H153" s="14"/>
    </row>
    <row r="154" spans="1:8">
      <c r="A154" s="14"/>
      <c r="B154" s="34"/>
      <c r="C154" s="16" t="s">
        <v>16</v>
      </c>
      <c r="D154" s="38" t="str">
        <f>IF(Calculations!C161="","",D153-2)</f>
        <v/>
      </c>
      <c r="E154" s="38"/>
      <c r="F154" s="38"/>
      <c r="G154" s="39"/>
      <c r="H154" s="14"/>
    </row>
    <row r="155" spans="1:8">
      <c r="A155" s="14"/>
      <c r="B155" s="34"/>
      <c r="C155" s="19" t="s">
        <v>15</v>
      </c>
      <c r="D155" s="24" t="str">
        <f>IF(OR(D152="",D151=""),"",D151)</f>
        <v/>
      </c>
      <c r="E155" s="24" t="str">
        <f>IF(OR(D152="",E151=""),"",E151)</f>
        <v/>
      </c>
      <c r="F155" s="24" t="str">
        <f>IF(OR(D152="",F151=""),"",F151)</f>
        <v/>
      </c>
      <c r="G155" s="25" t="str">
        <f>IF(OR(D152="",G151=""),"",G151)</f>
        <v/>
      </c>
      <c r="H155" s="14"/>
    </row>
    <row r="156" spans="1:8">
      <c r="A156" s="14"/>
      <c r="B156" s="34"/>
      <c r="C156" s="17" t="s">
        <v>10</v>
      </c>
      <c r="D156" s="20" t="str">
        <f>IF(Calculations!C161="","",D155)</f>
        <v/>
      </c>
      <c r="E156" s="20" t="str">
        <f>IF(Calculations!C161="","",E155)</f>
        <v/>
      </c>
      <c r="F156" s="20" t="str">
        <f>IF(Calculations!C161="","",F155)</f>
        <v/>
      </c>
      <c r="G156" s="21" t="str">
        <f>IF(Calculations!C161="","",G155+1)</f>
        <v/>
      </c>
      <c r="H156" s="14"/>
    </row>
    <row r="157" spans="1:8">
      <c r="A157" s="14"/>
      <c r="B157" s="34"/>
      <c r="C157" s="17" t="s">
        <v>11</v>
      </c>
      <c r="D157" s="20" t="str">
        <f>IF(Calculations!C161="","",IF(D158=D156,D158,D158-D156))</f>
        <v/>
      </c>
      <c r="E157" s="20" t="str">
        <f>IF(Calculations!C161="","",IF(E158=E156,E158,E158-E156))</f>
        <v/>
      </c>
      <c r="F157" s="20" t="str">
        <f>IF(Calculations!C161="","",IF(F158=F156,F158,F158-F156))</f>
        <v/>
      </c>
      <c r="G157" s="21" t="str">
        <f>IF(Calculations!C161="","",IF(G158=G156,G158,G158-1))</f>
        <v/>
      </c>
      <c r="H157" s="14"/>
    </row>
    <row r="158" spans="1:8">
      <c r="A158" s="14"/>
      <c r="B158" s="34"/>
      <c r="C158" s="19" t="s">
        <v>7</v>
      </c>
      <c r="D158" s="24" t="str">
        <f>IF(Calculations!C161="","",IF(Calculations!G155=255,D155,D155+Calculations!G156))</f>
        <v/>
      </c>
      <c r="E158" s="24" t="str">
        <f>IF(Calculations!C161="","",IF(Calculations!O155=255,E155,E155+Calculations!O156))</f>
        <v/>
      </c>
      <c r="F158" s="24" t="str">
        <f>IF(Calculations!C161="","",IF(Calculations!W155=255,F155,F155+Calculations!W156))</f>
        <v/>
      </c>
      <c r="G158" s="25" t="str">
        <f>IF(Calculations!C161="","",IF(Calculations!AE155=255,G155,G155+Calculations!AE156))</f>
        <v/>
      </c>
      <c r="H158" s="14"/>
    </row>
    <row r="159" spans="1:8">
      <c r="A159" s="14"/>
      <c r="B159" s="34"/>
      <c r="C159" s="18" t="s">
        <v>0</v>
      </c>
      <c r="D159" s="28" t="str">
        <f>IF(Calculations!C161="","",Calculations!G155)</f>
        <v/>
      </c>
      <c r="E159" s="28" t="str">
        <f>IF(Calculations!C161="","",Calculations!O155)</f>
        <v/>
      </c>
      <c r="F159" s="28" t="str">
        <f>IF(Calculations!C161="","",Calculations!W155)</f>
        <v/>
      </c>
      <c r="G159" s="29" t="str">
        <f>IF(Calculations!C161="","",Calculations!AE155)</f>
        <v/>
      </c>
      <c r="H159" s="14"/>
    </row>
    <row r="160" spans="1:8">
      <c r="A160" s="14"/>
      <c r="B160" s="34"/>
      <c r="C160" s="18" t="s">
        <v>8</v>
      </c>
      <c r="D160" s="26" t="str">
        <f>IF(Calculations!C161="","",CONCATENATE("\",COUNTIF(Calculations!C152:AH152,1)))</f>
        <v/>
      </c>
      <c r="E160" s="26"/>
      <c r="F160" s="26"/>
      <c r="G160" s="27"/>
      <c r="H160" s="14"/>
    </row>
    <row r="161" spans="1:8" ht="15.75" thickBot="1">
      <c r="A161" s="14"/>
      <c r="B161" s="35"/>
      <c r="C161" s="30" t="s">
        <v>12</v>
      </c>
      <c r="D161" s="31" t="str">
        <f>IF(Calculations!C161="","",IF(E158&gt;254,D158+1,IF(D158=D156,D156,D156+Calculations!G156)))</f>
        <v/>
      </c>
      <c r="E161" s="31" t="str">
        <f>IF(Calculations!C161="","",IF(F158&gt;254,E158+1,IF(E158=E156,E156,E156+Calculations!O156)))</f>
        <v/>
      </c>
      <c r="F161" s="31" t="str">
        <f>IF(Calculations!C161="","",IF(G158&gt;254,F158+1,IF(F158=F156,F156,F156+Calculations!W156)))</f>
        <v/>
      </c>
      <c r="G161" s="32" t="str">
        <f>IF(Calculations!C161="","",IF(G158+1&gt;255,0,G158+1))</f>
        <v/>
      </c>
      <c r="H161" s="14"/>
    </row>
    <row r="162" spans="1:8" ht="15.75" thickTop="1">
      <c r="A162" s="14"/>
      <c r="B162" s="33" t="str">
        <f>CONCATENATE(Calculations!G170,CHAR(10),"Network")</f>
        <v>17th
Network</v>
      </c>
      <c r="C162" s="15" t="s">
        <v>6</v>
      </c>
      <c r="D162" s="36"/>
      <c r="E162" s="36"/>
      <c r="F162" s="36"/>
      <c r="G162" s="37"/>
      <c r="H162" s="14"/>
    </row>
    <row r="163" spans="1:8">
      <c r="A163" s="14"/>
      <c r="B163" s="34"/>
      <c r="C163" s="16" t="s">
        <v>9</v>
      </c>
      <c r="D163" s="38" t="str">
        <f>IF(Calculations!C171="","",IFERROR(HLOOKUP(D162+2,Calculations!C169:AH169,1,FALSE),HLOOKUP(TRUE,Calculations!C167:AH169,3,FALSE)))</f>
        <v/>
      </c>
      <c r="E163" s="38"/>
      <c r="F163" s="38"/>
      <c r="G163" s="39"/>
      <c r="H163" s="14"/>
    </row>
    <row r="164" spans="1:8">
      <c r="A164" s="14"/>
      <c r="B164" s="34"/>
      <c r="C164" s="16" t="s">
        <v>16</v>
      </c>
      <c r="D164" s="38" t="str">
        <f>IF(Calculations!C171="","",D163-2)</f>
        <v/>
      </c>
      <c r="E164" s="38"/>
      <c r="F164" s="38"/>
      <c r="G164" s="39"/>
      <c r="H164" s="14"/>
    </row>
    <row r="165" spans="1:8">
      <c r="A165" s="14"/>
      <c r="B165" s="34"/>
      <c r="C165" s="19" t="s">
        <v>15</v>
      </c>
      <c r="D165" s="24" t="str">
        <f>IF(OR(D162="",D161=""),"",D161)</f>
        <v/>
      </c>
      <c r="E165" s="24" t="str">
        <f>IF(OR(D162="",E161=""),"",E161)</f>
        <v/>
      </c>
      <c r="F165" s="24" t="str">
        <f>IF(OR(D162="",F161=""),"",F161)</f>
        <v/>
      </c>
      <c r="G165" s="25" t="str">
        <f>IF(OR(D162="",G161=""),"",G161)</f>
        <v/>
      </c>
      <c r="H165" s="14"/>
    </row>
    <row r="166" spans="1:8">
      <c r="A166" s="14"/>
      <c r="B166" s="34"/>
      <c r="C166" s="17" t="s">
        <v>10</v>
      </c>
      <c r="D166" s="20" t="str">
        <f>IF(Calculations!C171="","",D165)</f>
        <v/>
      </c>
      <c r="E166" s="20" t="str">
        <f>IF(Calculations!C171="","",E165)</f>
        <v/>
      </c>
      <c r="F166" s="20" t="str">
        <f>IF(Calculations!C171="","",F165)</f>
        <v/>
      </c>
      <c r="G166" s="21" t="str">
        <f>IF(Calculations!C171="","",G165+1)</f>
        <v/>
      </c>
      <c r="H166" s="14"/>
    </row>
    <row r="167" spans="1:8">
      <c r="A167" s="14"/>
      <c r="B167" s="34"/>
      <c r="C167" s="17" t="s">
        <v>11</v>
      </c>
      <c r="D167" s="20" t="str">
        <f>IF(Calculations!C171="","",IF(D168=D166,D168,D168-D166))</f>
        <v/>
      </c>
      <c r="E167" s="20" t="str">
        <f>IF(Calculations!C171="","",IF(E168=E166,E168,E168-E166))</f>
        <v/>
      </c>
      <c r="F167" s="20" t="str">
        <f>IF(Calculations!C171="","",IF(F168=F166,F168,F168-F166))</f>
        <v/>
      </c>
      <c r="G167" s="21" t="str">
        <f>IF(Calculations!C171="","",IF(G168=G166,G168,G168-1))</f>
        <v/>
      </c>
      <c r="H167" s="14"/>
    </row>
    <row r="168" spans="1:8">
      <c r="A168" s="14"/>
      <c r="B168" s="34"/>
      <c r="C168" s="19" t="s">
        <v>7</v>
      </c>
      <c r="D168" s="24" t="str">
        <f>IF(Calculations!C171="","",IF(Calculations!G165=255,D165,D165+Calculations!G166))</f>
        <v/>
      </c>
      <c r="E168" s="24" t="str">
        <f>IF(Calculations!C171="","",IF(Calculations!O165=255,E165,E165+Calculations!O166))</f>
        <v/>
      </c>
      <c r="F168" s="24" t="str">
        <f>IF(Calculations!C171="","",IF(Calculations!W165=255,F165,F165+Calculations!W166))</f>
        <v/>
      </c>
      <c r="G168" s="25" t="str">
        <f>IF(Calculations!C171="","",IF(Calculations!AE165=255,G165,G165+Calculations!AE166))</f>
        <v/>
      </c>
      <c r="H168" s="14"/>
    </row>
    <row r="169" spans="1:8">
      <c r="A169" s="14"/>
      <c r="B169" s="34"/>
      <c r="C169" s="18" t="s">
        <v>0</v>
      </c>
      <c r="D169" s="28" t="str">
        <f>IF(Calculations!C171="","",Calculations!G165)</f>
        <v/>
      </c>
      <c r="E169" s="28" t="str">
        <f>IF(Calculations!C171="","",Calculations!O165)</f>
        <v/>
      </c>
      <c r="F169" s="28" t="str">
        <f>IF(Calculations!C171="","",Calculations!W165)</f>
        <v/>
      </c>
      <c r="G169" s="29" t="str">
        <f>IF(Calculations!C171="","",Calculations!AE165)</f>
        <v/>
      </c>
      <c r="H169" s="14"/>
    </row>
    <row r="170" spans="1:8">
      <c r="A170" s="14"/>
      <c r="B170" s="34"/>
      <c r="C170" s="18" t="s">
        <v>8</v>
      </c>
      <c r="D170" s="26" t="str">
        <f>IF(Calculations!C171="","",CONCATENATE("\",COUNTIF(Calculations!C162:AH162,1)))</f>
        <v/>
      </c>
      <c r="E170" s="26"/>
      <c r="F170" s="26"/>
      <c r="G170" s="27"/>
      <c r="H170" s="14"/>
    </row>
    <row r="171" spans="1:8" ht="15.75" thickBot="1">
      <c r="A171" s="14"/>
      <c r="B171" s="35"/>
      <c r="C171" s="30" t="s">
        <v>12</v>
      </c>
      <c r="D171" s="31" t="str">
        <f>IF(Calculations!C171="","",IF(E168&gt;254,D168+1,IF(D168=D166,D166,D166+Calculations!G166)))</f>
        <v/>
      </c>
      <c r="E171" s="31" t="str">
        <f>IF(Calculations!C171="","",IF(F168&gt;254,E168+1,IF(E168=E166,E166,E166+Calculations!O166)))</f>
        <v/>
      </c>
      <c r="F171" s="31" t="str">
        <f>IF(Calculations!C171="","",IF(G168&gt;254,F168+1,IF(F168=F166,F166,F166+Calculations!W166)))</f>
        <v/>
      </c>
      <c r="G171" s="32" t="str">
        <f>IF(Calculations!C171="","",IF(G168+1&gt;255,0,G168+1))</f>
        <v/>
      </c>
      <c r="H171" s="14"/>
    </row>
    <row r="172" spans="1:8" ht="15.75" thickTop="1">
      <c r="A172" s="14"/>
      <c r="B172" s="33" t="str">
        <f>CONCATENATE(Calculations!G180,CHAR(10),"Network")</f>
        <v>18th
Network</v>
      </c>
      <c r="C172" s="15" t="s">
        <v>6</v>
      </c>
      <c r="D172" s="36"/>
      <c r="E172" s="36"/>
      <c r="F172" s="36"/>
      <c r="G172" s="37"/>
      <c r="H172" s="14"/>
    </row>
    <row r="173" spans="1:8">
      <c r="A173" s="14"/>
      <c r="B173" s="34"/>
      <c r="C173" s="16" t="s">
        <v>9</v>
      </c>
      <c r="D173" s="38" t="str">
        <f>IF(Calculations!C181="","",IFERROR(HLOOKUP(D172+2,Calculations!C179:AH179,1,FALSE),HLOOKUP(TRUE,Calculations!C177:AH179,3,FALSE)))</f>
        <v/>
      </c>
      <c r="E173" s="38"/>
      <c r="F173" s="38"/>
      <c r="G173" s="39"/>
      <c r="H173" s="14"/>
    </row>
    <row r="174" spans="1:8">
      <c r="A174" s="14"/>
      <c r="B174" s="34"/>
      <c r="C174" s="16" t="s">
        <v>16</v>
      </c>
      <c r="D174" s="38" t="str">
        <f>IF(Calculations!C181="","",D173-2)</f>
        <v/>
      </c>
      <c r="E174" s="38"/>
      <c r="F174" s="38"/>
      <c r="G174" s="39"/>
      <c r="H174" s="14"/>
    </row>
    <row r="175" spans="1:8">
      <c r="A175" s="14"/>
      <c r="B175" s="34"/>
      <c r="C175" s="19" t="s">
        <v>15</v>
      </c>
      <c r="D175" s="24" t="str">
        <f>IF(OR(D172="",D171=""),"",D171)</f>
        <v/>
      </c>
      <c r="E175" s="24" t="str">
        <f>IF(OR(D172="",E171=""),"",E171)</f>
        <v/>
      </c>
      <c r="F175" s="24" t="str">
        <f>IF(OR(D172="",F171=""),"",F171)</f>
        <v/>
      </c>
      <c r="G175" s="25" t="str">
        <f>IF(OR(D172="",G171=""),"",G171)</f>
        <v/>
      </c>
      <c r="H175" s="14"/>
    </row>
    <row r="176" spans="1:8">
      <c r="A176" s="14"/>
      <c r="B176" s="34"/>
      <c r="C176" s="17" t="s">
        <v>10</v>
      </c>
      <c r="D176" s="20" t="str">
        <f>IF(Calculations!C181="","",D175)</f>
        <v/>
      </c>
      <c r="E176" s="20" t="str">
        <f>IF(Calculations!C181="","",E175)</f>
        <v/>
      </c>
      <c r="F176" s="20" t="str">
        <f>IF(Calculations!C181="","",F175)</f>
        <v/>
      </c>
      <c r="G176" s="21" t="str">
        <f>IF(Calculations!C181="","",G175+1)</f>
        <v/>
      </c>
      <c r="H176" s="14"/>
    </row>
    <row r="177" spans="1:8">
      <c r="A177" s="14"/>
      <c r="B177" s="34"/>
      <c r="C177" s="17" t="s">
        <v>11</v>
      </c>
      <c r="D177" s="20" t="str">
        <f>IF(Calculations!C181="","",IF(D178=D176,D178,D178-D176))</f>
        <v/>
      </c>
      <c r="E177" s="20" t="str">
        <f>IF(Calculations!C181="","",IF(E178=E176,E178,E178-E176))</f>
        <v/>
      </c>
      <c r="F177" s="20" t="str">
        <f>IF(Calculations!C181="","",IF(F178=F176,F178,F178-F176))</f>
        <v/>
      </c>
      <c r="G177" s="21" t="str">
        <f>IF(Calculations!C181="","",IF(G178=G176,G178,G178-1))</f>
        <v/>
      </c>
      <c r="H177" s="14"/>
    </row>
    <row r="178" spans="1:8">
      <c r="A178" s="14"/>
      <c r="B178" s="34"/>
      <c r="C178" s="19" t="s">
        <v>7</v>
      </c>
      <c r="D178" s="24" t="str">
        <f>IF(Calculations!C181="","",IF(Calculations!G175=255,D175,D175+Calculations!G176))</f>
        <v/>
      </c>
      <c r="E178" s="24" t="str">
        <f>IF(Calculations!C181="","",IF(Calculations!O175=255,E175,E175+Calculations!O176))</f>
        <v/>
      </c>
      <c r="F178" s="24" t="str">
        <f>IF(Calculations!C181="","",IF(Calculations!W175=255,F175,F175+Calculations!W176))</f>
        <v/>
      </c>
      <c r="G178" s="25" t="str">
        <f>IF(Calculations!C181="","",IF(Calculations!AE175=255,G175,G175+Calculations!AE176))</f>
        <v/>
      </c>
      <c r="H178" s="14"/>
    </row>
    <row r="179" spans="1:8">
      <c r="A179" s="14"/>
      <c r="B179" s="34"/>
      <c r="C179" s="18" t="s">
        <v>0</v>
      </c>
      <c r="D179" s="28" t="str">
        <f>IF(Calculations!C181="","",Calculations!G175)</f>
        <v/>
      </c>
      <c r="E179" s="28" t="str">
        <f>IF(Calculations!C181="","",Calculations!O175)</f>
        <v/>
      </c>
      <c r="F179" s="28" t="str">
        <f>IF(Calculations!C181="","",Calculations!W175)</f>
        <v/>
      </c>
      <c r="G179" s="29" t="str">
        <f>IF(Calculations!C181="","",Calculations!AE175)</f>
        <v/>
      </c>
      <c r="H179" s="14"/>
    </row>
    <row r="180" spans="1:8">
      <c r="A180" s="14"/>
      <c r="B180" s="34"/>
      <c r="C180" s="18" t="s">
        <v>8</v>
      </c>
      <c r="D180" s="26" t="str">
        <f>IF(Calculations!C181="","",CONCATENATE("\",COUNTIF(Calculations!C172:AH172,1)))</f>
        <v/>
      </c>
      <c r="E180" s="26"/>
      <c r="F180" s="26"/>
      <c r="G180" s="27"/>
      <c r="H180" s="14"/>
    </row>
    <row r="181" spans="1:8" ht="15.75" thickBot="1">
      <c r="A181" s="14"/>
      <c r="B181" s="35"/>
      <c r="C181" s="30" t="s">
        <v>12</v>
      </c>
      <c r="D181" s="31" t="str">
        <f>IF(Calculations!C181="","",IF(E178&gt;254,D178+1,IF(D178=D176,D176,D176+Calculations!G176)))</f>
        <v/>
      </c>
      <c r="E181" s="31" t="str">
        <f>IF(Calculations!C181="","",IF(F178&gt;254,E178+1,IF(E178=E176,E176,E176+Calculations!O176)))</f>
        <v/>
      </c>
      <c r="F181" s="31" t="str">
        <f>IF(Calculations!C181="","",IF(G178&gt;254,F178+1,IF(F178=F176,F176,F176+Calculations!W176)))</f>
        <v/>
      </c>
      <c r="G181" s="32" t="str">
        <f>IF(Calculations!C181="","",IF(G178+1&gt;255,0,G178+1))</f>
        <v/>
      </c>
      <c r="H181" s="14"/>
    </row>
    <row r="182" spans="1:8" ht="15.75" thickTop="1">
      <c r="A182" s="14"/>
      <c r="B182" s="33" t="str">
        <f>CONCATENATE(Calculations!G190,CHAR(10),"Network")</f>
        <v>19th
Network</v>
      </c>
      <c r="C182" s="15" t="s">
        <v>6</v>
      </c>
      <c r="D182" s="36"/>
      <c r="E182" s="36"/>
      <c r="F182" s="36"/>
      <c r="G182" s="37"/>
      <c r="H182" s="14"/>
    </row>
    <row r="183" spans="1:8">
      <c r="A183" s="14"/>
      <c r="B183" s="34"/>
      <c r="C183" s="16" t="s">
        <v>9</v>
      </c>
      <c r="D183" s="38" t="str">
        <f>IF(Calculations!C191="","",IFERROR(HLOOKUP(D182+2,Calculations!C189:AH189,1,FALSE),HLOOKUP(TRUE,Calculations!C187:AH189,3,FALSE)))</f>
        <v/>
      </c>
      <c r="E183" s="38"/>
      <c r="F183" s="38"/>
      <c r="G183" s="39"/>
      <c r="H183" s="14"/>
    </row>
    <row r="184" spans="1:8">
      <c r="A184" s="14"/>
      <c r="B184" s="34"/>
      <c r="C184" s="16" t="s">
        <v>16</v>
      </c>
      <c r="D184" s="38" t="str">
        <f>IF(Calculations!C191="","",D183-2)</f>
        <v/>
      </c>
      <c r="E184" s="38"/>
      <c r="F184" s="38"/>
      <c r="G184" s="39"/>
      <c r="H184" s="14"/>
    </row>
    <row r="185" spans="1:8">
      <c r="A185" s="14"/>
      <c r="B185" s="34"/>
      <c r="C185" s="19" t="s">
        <v>15</v>
      </c>
      <c r="D185" s="24" t="str">
        <f>IF(OR(D182="",D181=""),"",D181)</f>
        <v/>
      </c>
      <c r="E185" s="24" t="str">
        <f>IF(OR(D182="",E181=""),"",E181)</f>
        <v/>
      </c>
      <c r="F185" s="24" t="str">
        <f>IF(OR(D182="",F181=""),"",F181)</f>
        <v/>
      </c>
      <c r="G185" s="25" t="str">
        <f>IF(OR(D182="",G181=""),"",G181)</f>
        <v/>
      </c>
      <c r="H185" s="14"/>
    </row>
    <row r="186" spans="1:8">
      <c r="A186" s="14"/>
      <c r="B186" s="34"/>
      <c r="C186" s="17" t="s">
        <v>10</v>
      </c>
      <c r="D186" s="20" t="str">
        <f>IF(Calculations!C191="","",D185)</f>
        <v/>
      </c>
      <c r="E186" s="20" t="str">
        <f>IF(Calculations!C191="","",E185)</f>
        <v/>
      </c>
      <c r="F186" s="20" t="str">
        <f>IF(Calculations!C191="","",F185)</f>
        <v/>
      </c>
      <c r="G186" s="21" t="str">
        <f>IF(Calculations!C191="","",G185+1)</f>
        <v/>
      </c>
      <c r="H186" s="14"/>
    </row>
    <row r="187" spans="1:8">
      <c r="A187" s="14"/>
      <c r="B187" s="34"/>
      <c r="C187" s="17" t="s">
        <v>11</v>
      </c>
      <c r="D187" s="20" t="str">
        <f>IF(Calculations!C191="","",IF(D188=D186,D188,D188-D186))</f>
        <v/>
      </c>
      <c r="E187" s="20" t="str">
        <f>IF(Calculations!C191="","",IF(E188=E186,E188,E188-E186))</f>
        <v/>
      </c>
      <c r="F187" s="20" t="str">
        <f>IF(Calculations!C191="","",IF(F188=F186,F188,F188-F186))</f>
        <v/>
      </c>
      <c r="G187" s="21" t="str">
        <f>IF(Calculations!C191="","",IF(G188=G186,G188,G188-1))</f>
        <v/>
      </c>
      <c r="H187" s="14"/>
    </row>
    <row r="188" spans="1:8">
      <c r="A188" s="14"/>
      <c r="B188" s="34"/>
      <c r="C188" s="19" t="s">
        <v>7</v>
      </c>
      <c r="D188" s="24" t="str">
        <f>IF(Calculations!C191="","",IF(Calculations!G185=255,D185,D185+Calculations!G186))</f>
        <v/>
      </c>
      <c r="E188" s="24" t="str">
        <f>IF(Calculations!C191="","",IF(Calculations!O185=255,E185,E185+Calculations!O186))</f>
        <v/>
      </c>
      <c r="F188" s="24" t="str">
        <f>IF(Calculations!C191="","",IF(Calculations!W185=255,F185,F185+Calculations!W186))</f>
        <v/>
      </c>
      <c r="G188" s="25" t="str">
        <f>IF(Calculations!C191="","",IF(Calculations!AE185=255,G185,G185+Calculations!AE186))</f>
        <v/>
      </c>
      <c r="H188" s="14"/>
    </row>
    <row r="189" spans="1:8">
      <c r="A189" s="14"/>
      <c r="B189" s="34"/>
      <c r="C189" s="18" t="s">
        <v>0</v>
      </c>
      <c r="D189" s="28" t="str">
        <f>IF(Calculations!C191="","",Calculations!G185)</f>
        <v/>
      </c>
      <c r="E189" s="28" t="str">
        <f>IF(Calculations!C191="","",Calculations!O185)</f>
        <v/>
      </c>
      <c r="F189" s="28" t="str">
        <f>IF(Calculations!C191="","",Calculations!W185)</f>
        <v/>
      </c>
      <c r="G189" s="29" t="str">
        <f>IF(Calculations!C191="","",Calculations!AE185)</f>
        <v/>
      </c>
      <c r="H189" s="14"/>
    </row>
    <row r="190" spans="1:8">
      <c r="A190" s="14"/>
      <c r="B190" s="34"/>
      <c r="C190" s="18" t="s">
        <v>8</v>
      </c>
      <c r="D190" s="26" t="str">
        <f>IF(Calculations!C191="","",CONCATENATE("\",COUNTIF(Calculations!C182:AH182,1)))</f>
        <v/>
      </c>
      <c r="E190" s="26"/>
      <c r="F190" s="26"/>
      <c r="G190" s="27"/>
      <c r="H190" s="14"/>
    </row>
    <row r="191" spans="1:8" ht="15.75" thickBot="1">
      <c r="A191" s="14"/>
      <c r="B191" s="35"/>
      <c r="C191" s="30" t="s">
        <v>12</v>
      </c>
      <c r="D191" s="31" t="str">
        <f>IF(Calculations!C191="","",IF(E188&gt;254,D188+1,IF(D188=D186,D186,D186+Calculations!G186)))</f>
        <v/>
      </c>
      <c r="E191" s="31" t="str">
        <f>IF(Calculations!C191="","",IF(F188&gt;254,E188+1,IF(E188=E186,E186,E186+Calculations!O186)))</f>
        <v/>
      </c>
      <c r="F191" s="31" t="str">
        <f>IF(Calculations!C191="","",IF(G188&gt;254,F188+1,IF(F188=F186,F186,F186+Calculations!W186)))</f>
        <v/>
      </c>
      <c r="G191" s="32" t="str">
        <f>IF(Calculations!C191="","",IF(G188+1&gt;255,0,G188+1))</f>
        <v/>
      </c>
      <c r="H191" s="14"/>
    </row>
    <row r="192" spans="1:8" ht="15.75" thickTop="1">
      <c r="A192" s="14"/>
      <c r="B192" s="33" t="str">
        <f>CONCATENATE(Calculations!G200,CHAR(10),"Network")</f>
        <v>20th
Network</v>
      </c>
      <c r="C192" s="15" t="s">
        <v>6</v>
      </c>
      <c r="D192" s="36"/>
      <c r="E192" s="36"/>
      <c r="F192" s="36"/>
      <c r="G192" s="37"/>
      <c r="H192" s="14"/>
    </row>
    <row r="193" spans="1:8">
      <c r="A193" s="14"/>
      <c r="B193" s="34"/>
      <c r="C193" s="16" t="s">
        <v>9</v>
      </c>
      <c r="D193" s="38" t="str">
        <f>IF(Calculations!C201="","",IFERROR(HLOOKUP(D192+2,Calculations!C199:AH199,1,FALSE),HLOOKUP(TRUE,Calculations!C197:AH199,3,FALSE)))</f>
        <v/>
      </c>
      <c r="E193" s="38"/>
      <c r="F193" s="38"/>
      <c r="G193" s="39"/>
      <c r="H193" s="14"/>
    </row>
    <row r="194" spans="1:8">
      <c r="A194" s="14"/>
      <c r="B194" s="34"/>
      <c r="C194" s="16" t="s">
        <v>16</v>
      </c>
      <c r="D194" s="38" t="str">
        <f>IF(Calculations!C201="","",D193-2)</f>
        <v/>
      </c>
      <c r="E194" s="38"/>
      <c r="F194" s="38"/>
      <c r="G194" s="39"/>
      <c r="H194" s="14"/>
    </row>
    <row r="195" spans="1:8">
      <c r="A195" s="14"/>
      <c r="B195" s="34"/>
      <c r="C195" s="19" t="s">
        <v>15</v>
      </c>
      <c r="D195" s="24" t="str">
        <f>IF(OR(D192="",D191=""),"",D191)</f>
        <v/>
      </c>
      <c r="E195" s="24" t="str">
        <f>IF(OR(D192="",E191=""),"",E191)</f>
        <v/>
      </c>
      <c r="F195" s="24" t="str">
        <f>IF(OR(D192="",F191=""),"",F191)</f>
        <v/>
      </c>
      <c r="G195" s="25" t="str">
        <f>IF(OR(D192="",G191=""),"",G191)</f>
        <v/>
      </c>
      <c r="H195" s="14"/>
    </row>
    <row r="196" spans="1:8">
      <c r="A196" s="14"/>
      <c r="B196" s="34"/>
      <c r="C196" s="17" t="s">
        <v>10</v>
      </c>
      <c r="D196" s="20" t="str">
        <f>IF(Calculations!C201="","",D195)</f>
        <v/>
      </c>
      <c r="E196" s="20" t="str">
        <f>IF(Calculations!C201="","",E195)</f>
        <v/>
      </c>
      <c r="F196" s="20" t="str">
        <f>IF(Calculations!C201="","",F195)</f>
        <v/>
      </c>
      <c r="G196" s="21" t="str">
        <f>IF(Calculations!C201="","",G195+1)</f>
        <v/>
      </c>
      <c r="H196" s="14"/>
    </row>
    <row r="197" spans="1:8">
      <c r="A197" s="14"/>
      <c r="B197" s="34"/>
      <c r="C197" s="17" t="s">
        <v>11</v>
      </c>
      <c r="D197" s="20" t="str">
        <f>IF(Calculations!C201="","",IF(D198=D196,D198,D198-D196))</f>
        <v/>
      </c>
      <c r="E197" s="20" t="str">
        <f>IF(Calculations!C201="","",IF(E198=E196,E198,E198-E196))</f>
        <v/>
      </c>
      <c r="F197" s="20" t="str">
        <f>IF(Calculations!C201="","",IF(F198=F196,F198,F198-F196))</f>
        <v/>
      </c>
      <c r="G197" s="21" t="str">
        <f>IF(Calculations!C201="","",IF(G198=G196,G198,G198-1))</f>
        <v/>
      </c>
      <c r="H197" s="14"/>
    </row>
    <row r="198" spans="1:8">
      <c r="A198" s="14"/>
      <c r="B198" s="34"/>
      <c r="C198" s="19" t="s">
        <v>7</v>
      </c>
      <c r="D198" s="24" t="str">
        <f>IF(Calculations!C201="","",IF(Calculations!G195=255,D195,D195+Calculations!G196))</f>
        <v/>
      </c>
      <c r="E198" s="24" t="str">
        <f>IF(Calculations!C201="","",IF(Calculations!O195=255,E195,E195+Calculations!O196))</f>
        <v/>
      </c>
      <c r="F198" s="24" t="str">
        <f>IF(Calculations!C201="","",IF(Calculations!W195=255,F195,F195+Calculations!W196))</f>
        <v/>
      </c>
      <c r="G198" s="25" t="str">
        <f>IF(Calculations!C201="","",IF(Calculations!AE195=255,G195,G195+Calculations!AE196))</f>
        <v/>
      </c>
      <c r="H198" s="14"/>
    </row>
    <row r="199" spans="1:8">
      <c r="A199" s="14"/>
      <c r="B199" s="34"/>
      <c r="C199" s="18" t="s">
        <v>0</v>
      </c>
      <c r="D199" s="28" t="str">
        <f>IF(Calculations!C201="","",Calculations!G195)</f>
        <v/>
      </c>
      <c r="E199" s="28" t="str">
        <f>IF(Calculations!C201="","",Calculations!O195)</f>
        <v/>
      </c>
      <c r="F199" s="28" t="str">
        <f>IF(Calculations!C201="","",Calculations!W195)</f>
        <v/>
      </c>
      <c r="G199" s="29" t="str">
        <f>IF(Calculations!C201="","",Calculations!AE195)</f>
        <v/>
      </c>
      <c r="H199" s="14"/>
    </row>
    <row r="200" spans="1:8">
      <c r="A200" s="14"/>
      <c r="B200" s="34"/>
      <c r="C200" s="18" t="s">
        <v>8</v>
      </c>
      <c r="D200" s="26" t="str">
        <f>IF(Calculations!C201="","",CONCATENATE("\",COUNTIF(Calculations!C192:AH192,1)))</f>
        <v/>
      </c>
      <c r="E200" s="26"/>
      <c r="F200" s="26"/>
      <c r="G200" s="27"/>
      <c r="H200" s="14"/>
    </row>
    <row r="201" spans="1:8" ht="15.75" thickBot="1">
      <c r="A201" s="14"/>
      <c r="B201" s="35"/>
      <c r="C201" s="30" t="s">
        <v>12</v>
      </c>
      <c r="D201" s="31" t="str">
        <f>IF(Calculations!C201="","",IF(E198&gt;254,D198+1,IF(D198=D196,D196,D196+Calculations!G196)))</f>
        <v/>
      </c>
      <c r="E201" s="31" t="str">
        <f>IF(Calculations!C201="","",IF(F198&gt;254,E198+1,IF(E198=E196,E196,E196+Calculations!O196)))</f>
        <v/>
      </c>
      <c r="F201" s="31" t="str">
        <f>IF(Calculations!C201="","",IF(G198&gt;254,F198+1,IF(F198=F196,F196,F196+Calculations!W196)))</f>
        <v/>
      </c>
      <c r="G201" s="32" t="str">
        <f>IF(Calculations!C201="","",IF(G198+1&gt;255,0,G198+1))</f>
        <v/>
      </c>
      <c r="H201" s="14"/>
    </row>
    <row r="202" spans="1:8" ht="15.75" thickTop="1">
      <c r="A202" s="14"/>
      <c r="B202" s="14"/>
      <c r="C202" s="14"/>
      <c r="D202" s="14"/>
      <c r="E202" s="14"/>
      <c r="F202" s="14"/>
      <c r="G202" s="14"/>
      <c r="H202" s="14"/>
    </row>
    <row r="203" spans="1:8" hidden="1"/>
  </sheetData>
  <sheetProtection sheet="1" objects="1" scenarios="1" selectLockedCells="1"/>
  <mergeCells count="80">
    <mergeCell ref="D184:G184"/>
    <mergeCell ref="D183:G183"/>
    <mergeCell ref="D182:G182"/>
    <mergeCell ref="B182:B191"/>
    <mergeCell ref="D194:G194"/>
    <mergeCell ref="D193:G193"/>
    <mergeCell ref="D192:G192"/>
    <mergeCell ref="B192:B201"/>
    <mergeCell ref="D164:G164"/>
    <mergeCell ref="D163:G163"/>
    <mergeCell ref="D162:G162"/>
    <mergeCell ref="B162:B171"/>
    <mergeCell ref="D144:G144"/>
    <mergeCell ref="D143:G143"/>
    <mergeCell ref="D142:G142"/>
    <mergeCell ref="B142:B151"/>
    <mergeCell ref="D154:G154"/>
    <mergeCell ref="D153:G153"/>
    <mergeCell ref="D152:G152"/>
    <mergeCell ref="B152:B161"/>
    <mergeCell ref="D174:G174"/>
    <mergeCell ref="D173:G173"/>
    <mergeCell ref="D172:G172"/>
    <mergeCell ref="B172:B181"/>
    <mergeCell ref="B132:B141"/>
    <mergeCell ref="D132:G132"/>
    <mergeCell ref="D133:G133"/>
    <mergeCell ref="D134:G134"/>
    <mergeCell ref="B122:B131"/>
    <mergeCell ref="D122:G122"/>
    <mergeCell ref="D123:G123"/>
    <mergeCell ref="D124:G124"/>
    <mergeCell ref="B112:B121"/>
    <mergeCell ref="D112:G112"/>
    <mergeCell ref="D113:G113"/>
    <mergeCell ref="D114:G114"/>
    <mergeCell ref="B102:B111"/>
    <mergeCell ref="D102:G102"/>
    <mergeCell ref="D103:G103"/>
    <mergeCell ref="D104:G104"/>
    <mergeCell ref="B92:B101"/>
    <mergeCell ref="D92:G92"/>
    <mergeCell ref="D93:G93"/>
    <mergeCell ref="D94:G94"/>
    <mergeCell ref="B82:B91"/>
    <mergeCell ref="D82:G82"/>
    <mergeCell ref="D83:G83"/>
    <mergeCell ref="D84:G84"/>
    <mergeCell ref="B72:B81"/>
    <mergeCell ref="D72:G72"/>
    <mergeCell ref="D73:G73"/>
    <mergeCell ref="D74:G74"/>
    <mergeCell ref="B62:B71"/>
    <mergeCell ref="D62:G62"/>
    <mergeCell ref="D63:G63"/>
    <mergeCell ref="D64:G64"/>
    <mergeCell ref="B52:B61"/>
    <mergeCell ref="D52:G52"/>
    <mergeCell ref="D53:G53"/>
    <mergeCell ref="D54:G54"/>
    <mergeCell ref="B42:B51"/>
    <mergeCell ref="D42:G42"/>
    <mergeCell ref="D43:G43"/>
    <mergeCell ref="D44:G44"/>
    <mergeCell ref="B32:B41"/>
    <mergeCell ref="D32:G32"/>
    <mergeCell ref="D33:G33"/>
    <mergeCell ref="D34:G34"/>
    <mergeCell ref="B22:B31"/>
    <mergeCell ref="D22:G22"/>
    <mergeCell ref="D23:G23"/>
    <mergeCell ref="D24:G24"/>
    <mergeCell ref="B12:B21"/>
    <mergeCell ref="D12:G12"/>
    <mergeCell ref="D13:G13"/>
    <mergeCell ref="D14:G14"/>
    <mergeCell ref="B2:B11"/>
    <mergeCell ref="D2:G2"/>
    <mergeCell ref="D3:G3"/>
    <mergeCell ref="D4:G4"/>
  </mergeCells>
  <dataValidations count="4">
    <dataValidation type="whole" showInputMessage="1" showErrorMessage="1" errorTitle="Invalid Input" error="This network must be either the SAME size or SMALLER than the previous network. Please click 'Cancel' and either make this network smaller or the previous network larger." sqref="D12:G12 D192:G192 D182:G182 D172:G172 D162:G162 D152:G152 D142:G142 D132:G132 D122:G122 D112:G112 D102:G102 D92:G92 D82:G82 D72:G72 D62:G62 D52:G52 D42:G42 D32:G32 D22:G22">
      <formula1>1</formula1>
      <formula2>D3-2</formula2>
    </dataValidation>
    <dataValidation type="whole" allowBlank="1" showInputMessage="1" showErrorMessage="1" errorTitle="Input Not Valid" error="Click 'Cancel' and then enter a VALID IP range for each octet (0-254)." sqref="D5:G5">
      <formula1>0</formula1>
      <formula2>254</formula2>
    </dataValidation>
    <dataValidation allowBlank="1" showInputMessage="1" showErrorMessage="1" errorTitle="Input Not Valid" error="Click 'Cancel' and then enter a VALID IP range for each octet (1-254)." sqref="D15:G15 D105:G105 D25:G25 D35:G35 D45:G45 D55:G55 D65:G65 D75:G75 D85:G85 D95:G95 D115:G115 D125:G125 D135:G135 D145:G145 D155:G155 D165:G165 D175:G175 D185:G185 D195:G195"/>
    <dataValidation type="whole" showInputMessage="1" showErrorMessage="1" errorTitle="Invalid Input" error="The number of hosts must be between 1 and 2,147,483,646. Please click 'Cancel' and enter the number of hosts that are needed for this network." sqref="D2:G2">
      <formula1>1</formula1>
      <formula2>Max*2-2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rgb="FFC00000"/>
  </sheetPr>
  <dimension ref="A1:AJ204"/>
  <sheetViews>
    <sheetView workbookViewId="0"/>
  </sheetViews>
  <sheetFormatPr defaultColWidth="0" defaultRowHeight="15" zeroHeight="1"/>
  <cols>
    <col min="1" max="1" width="3" style="56" customWidth="1"/>
    <col min="2" max="2" width="7.140625" style="56" customWidth="1"/>
    <col min="3" max="34" width="4.7109375" style="56" customWidth="1"/>
    <col min="35" max="35" width="3" style="56" customWidth="1"/>
    <col min="36" max="36" width="0" style="56" hidden="1"/>
    <col min="37" max="16384" width="9.140625" style="56" hidden="1"/>
  </cols>
  <sheetData>
    <row r="1" spans="2:35" ht="15.75" thickBot="1"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2:35">
      <c r="B2" s="98" t="str">
        <f>VariableLengthSubnetMaskCalc.!B2</f>
        <v>1st
Network</v>
      </c>
      <c r="C2" s="64">
        <f>IF(VariableLengthSubnetMaskCalc.!D3&gt;C9,0,1)</f>
        <v>0</v>
      </c>
      <c r="D2" s="65">
        <f>IF(VariableLengthSubnetMaskCalc.!D3&gt;D9,0,1)</f>
        <v>0</v>
      </c>
      <c r="E2" s="65">
        <f>IF(VariableLengthSubnetMaskCalc.!D3&gt;E9,0,1)</f>
        <v>0</v>
      </c>
      <c r="F2" s="65">
        <f>IF(VariableLengthSubnetMaskCalc.!D3&gt;F9,0,1)</f>
        <v>0</v>
      </c>
      <c r="G2" s="65">
        <f>IF(VariableLengthSubnetMaskCalc.!D3&gt;G9,0,1)</f>
        <v>0</v>
      </c>
      <c r="H2" s="65">
        <f>IF(VariableLengthSubnetMaskCalc.!D3&gt;H9,0,1)</f>
        <v>0</v>
      </c>
      <c r="I2" s="65">
        <f>IF(VariableLengthSubnetMaskCalc.!D3&gt;I9,0,1)</f>
        <v>0</v>
      </c>
      <c r="J2" s="82">
        <f>IF(VariableLengthSubnetMaskCalc.!D3&gt;J9,0,1)</f>
        <v>0</v>
      </c>
      <c r="K2" s="90">
        <f>IF(VariableLengthSubnetMaskCalc.!D3&gt;K9,0,1)</f>
        <v>0</v>
      </c>
      <c r="L2" s="65">
        <f>IF(VariableLengthSubnetMaskCalc.!D3&gt;L9,0,1)</f>
        <v>0</v>
      </c>
      <c r="M2" s="65">
        <f>IF(VariableLengthSubnetMaskCalc.!D3&gt;M9,0,1)</f>
        <v>0</v>
      </c>
      <c r="N2" s="65">
        <f>IF(VariableLengthSubnetMaskCalc.!D3&gt;N9,0,1)</f>
        <v>0</v>
      </c>
      <c r="O2" s="65">
        <f>IF(VariableLengthSubnetMaskCalc.!D3&gt;O9,0,1)</f>
        <v>0</v>
      </c>
      <c r="P2" s="65">
        <f>IF(VariableLengthSubnetMaskCalc.!D3&gt;P9,0,1)</f>
        <v>0</v>
      </c>
      <c r="Q2" s="65">
        <f>IF(VariableLengthSubnetMaskCalc.!D3&gt;Q9,0,1)</f>
        <v>0</v>
      </c>
      <c r="R2" s="82">
        <f>IF(VariableLengthSubnetMaskCalc.!D3&gt;R9,0,1)</f>
        <v>0</v>
      </c>
      <c r="S2" s="90">
        <f>IF(VariableLengthSubnetMaskCalc.!D3&gt;S9,0,1)</f>
        <v>0</v>
      </c>
      <c r="T2" s="65">
        <f>IF(VariableLengthSubnetMaskCalc.!D3&gt;T9,0,1)</f>
        <v>0</v>
      </c>
      <c r="U2" s="65">
        <f>IF(VariableLengthSubnetMaskCalc.!D3&gt;U9,0,1)</f>
        <v>0</v>
      </c>
      <c r="V2" s="65">
        <f>IF(VariableLengthSubnetMaskCalc.!D3&gt;V9,0,1)</f>
        <v>0</v>
      </c>
      <c r="W2" s="65">
        <f>IF(VariableLengthSubnetMaskCalc.!D3&gt;W9,0,1)</f>
        <v>0</v>
      </c>
      <c r="X2" s="65">
        <f>IF(VariableLengthSubnetMaskCalc.!D3&gt;X9,0,1)</f>
        <v>0</v>
      </c>
      <c r="Y2" s="65">
        <f>IF(VariableLengthSubnetMaskCalc.!D3&gt;Y9,0,1)</f>
        <v>0</v>
      </c>
      <c r="Z2" s="82">
        <f>IF(VariableLengthSubnetMaskCalc.!D3&gt;Z9,0,1)</f>
        <v>0</v>
      </c>
      <c r="AA2" s="65">
        <f>IF(VariableLengthSubnetMaskCalc.!D3&gt;AA9,0,1)</f>
        <v>0</v>
      </c>
      <c r="AB2" s="65">
        <f>IF(VariableLengthSubnetMaskCalc.!D3&gt;AB9,0,1)</f>
        <v>0</v>
      </c>
      <c r="AC2" s="65">
        <f>IF(VariableLengthSubnetMaskCalc.!D3&gt;AC9,0,1)</f>
        <v>0</v>
      </c>
      <c r="AD2" s="65">
        <f>IF(VariableLengthSubnetMaskCalc.!D3&gt;AD9,0,1)</f>
        <v>0</v>
      </c>
      <c r="AE2" s="65">
        <f>IF(VariableLengthSubnetMaskCalc.!D3&gt;AE9,0,1)</f>
        <v>0</v>
      </c>
      <c r="AF2" s="65">
        <f>IF(VariableLengthSubnetMaskCalc.!D3&gt;AF9,0,1)</f>
        <v>0</v>
      </c>
      <c r="AG2" s="65">
        <f>IF(VariableLengthSubnetMaskCalc.!D3&gt;AG9,0,1)</f>
        <v>0</v>
      </c>
      <c r="AH2" s="66">
        <f>IF(VariableLengthSubnetMaskCalc.!D3&gt;AH9,0,1)</f>
        <v>0</v>
      </c>
      <c r="AI2" s="55"/>
    </row>
    <row r="3" spans="2:35">
      <c r="B3" s="99"/>
      <c r="C3" s="67">
        <f>IF(C2=1,0,1)</f>
        <v>1</v>
      </c>
      <c r="D3" s="57">
        <f>IF(D2=1,0,1)</f>
        <v>1</v>
      </c>
      <c r="E3" s="57">
        <f>IF(E2=1,0,1)</f>
        <v>1</v>
      </c>
      <c r="F3" s="57">
        <f>IF(F2=1,0,1)</f>
        <v>1</v>
      </c>
      <c r="G3" s="57">
        <f>IF(G2=1,0,1)</f>
        <v>1</v>
      </c>
      <c r="H3" s="57">
        <f>IF(H2=1,0,1)</f>
        <v>1</v>
      </c>
      <c r="I3" s="57">
        <f>IF(I2=1,0,1)</f>
        <v>1</v>
      </c>
      <c r="J3" s="83">
        <f>IF(J2=1,0,1)</f>
        <v>1</v>
      </c>
      <c r="K3" s="91">
        <f>IF(K2=1,0,1)</f>
        <v>1</v>
      </c>
      <c r="L3" s="57">
        <f>IF(L2=1,0,1)</f>
        <v>1</v>
      </c>
      <c r="M3" s="57">
        <f>IF(M2=1,0,1)</f>
        <v>1</v>
      </c>
      <c r="N3" s="57">
        <f>IF(N2=1,0,1)</f>
        <v>1</v>
      </c>
      <c r="O3" s="57">
        <f>IF(O2=1,0,1)</f>
        <v>1</v>
      </c>
      <c r="P3" s="57">
        <f>IF(P2=1,0,1)</f>
        <v>1</v>
      </c>
      <c r="Q3" s="57">
        <f>IF(Q2=1,0,1)</f>
        <v>1</v>
      </c>
      <c r="R3" s="83">
        <f>IF(R2=1,0,1)</f>
        <v>1</v>
      </c>
      <c r="S3" s="91">
        <f>IF(S2=1,0,1)</f>
        <v>1</v>
      </c>
      <c r="T3" s="57">
        <f>IF(T2=1,0,1)</f>
        <v>1</v>
      </c>
      <c r="U3" s="57">
        <f>IF(U2=1,0,1)</f>
        <v>1</v>
      </c>
      <c r="V3" s="57">
        <f>IF(V2=1,0,1)</f>
        <v>1</v>
      </c>
      <c r="W3" s="57">
        <f>IF(W2=1,0,1)</f>
        <v>1</v>
      </c>
      <c r="X3" s="57">
        <f>IF(X2=1,0,1)</f>
        <v>1</v>
      </c>
      <c r="Y3" s="57">
        <f>IF(Y2=1,0,1)</f>
        <v>1</v>
      </c>
      <c r="Z3" s="83">
        <f>IF(Z2=1,0,1)</f>
        <v>1</v>
      </c>
      <c r="AA3" s="57">
        <f>IF(AA2=1,0,1)</f>
        <v>1</v>
      </c>
      <c r="AB3" s="57">
        <f>IF(AB2=1,0,1)</f>
        <v>1</v>
      </c>
      <c r="AC3" s="57">
        <f>IF(AC2=1,0,1)</f>
        <v>1</v>
      </c>
      <c r="AD3" s="57">
        <f>IF(AD2=1,0,1)</f>
        <v>1</v>
      </c>
      <c r="AE3" s="57">
        <f>IF(AE2=1,0,1)</f>
        <v>1</v>
      </c>
      <c r="AF3" s="57">
        <f>IF(AF2=1,0,1)</f>
        <v>1</v>
      </c>
      <c r="AG3" s="57">
        <f>IF(AG2=1,0,1)</f>
        <v>1</v>
      </c>
      <c r="AH3" s="68">
        <f>IF(AH2=1,0,1)</f>
        <v>1</v>
      </c>
      <c r="AI3" s="55"/>
    </row>
    <row r="4" spans="2:35">
      <c r="B4" s="99"/>
      <c r="C4" s="69"/>
      <c r="D4" s="58"/>
      <c r="E4" s="58"/>
      <c r="F4" s="58"/>
      <c r="G4" s="58"/>
      <c r="H4" s="58"/>
      <c r="I4" s="58"/>
      <c r="J4" s="84"/>
      <c r="K4" s="92"/>
      <c r="L4" s="58"/>
      <c r="M4" s="58"/>
      <c r="N4" s="58"/>
      <c r="O4" s="58"/>
      <c r="P4" s="58"/>
      <c r="Q4" s="58"/>
      <c r="R4" s="84"/>
      <c r="S4" s="92"/>
      <c r="T4" s="58"/>
      <c r="U4" s="58"/>
      <c r="V4" s="58"/>
      <c r="W4" s="58"/>
      <c r="X4" s="58"/>
      <c r="Y4" s="58"/>
      <c r="Z4" s="84"/>
      <c r="AA4" s="58"/>
      <c r="AB4" s="58"/>
      <c r="AC4" s="58"/>
      <c r="AD4" s="58"/>
      <c r="AE4" s="58"/>
      <c r="AF4" s="58"/>
      <c r="AG4" s="58"/>
      <c r="AH4" s="70"/>
      <c r="AI4" s="55"/>
    </row>
    <row r="5" spans="2:35">
      <c r="B5" s="99"/>
      <c r="C5" s="71" t="str">
        <f>CONCATENATE(C2,D2,E2,F2,G2,H2,I2,J2)</f>
        <v>00000000</v>
      </c>
      <c r="D5" s="59"/>
      <c r="E5" s="59"/>
      <c r="F5" s="59"/>
      <c r="G5" s="59">
        <f>BIN2DEC(C5)</f>
        <v>0</v>
      </c>
      <c r="H5" s="59"/>
      <c r="I5" s="59"/>
      <c r="J5" s="85"/>
      <c r="K5" s="93" t="str">
        <f>CONCATENATE(K2,L2,M2,N2,O2,P2,Q2,R2)</f>
        <v>00000000</v>
      </c>
      <c r="L5" s="59"/>
      <c r="M5" s="59"/>
      <c r="N5" s="59"/>
      <c r="O5" s="59">
        <f>BIN2DEC(K5)</f>
        <v>0</v>
      </c>
      <c r="P5" s="59"/>
      <c r="Q5" s="59"/>
      <c r="R5" s="85"/>
      <c r="S5" s="93" t="str">
        <f>CONCATENATE(S2,T2,U2,V2,W2,X2,Y2,Z2)</f>
        <v>00000000</v>
      </c>
      <c r="T5" s="59"/>
      <c r="U5" s="59"/>
      <c r="V5" s="59"/>
      <c r="W5" s="59">
        <f>BIN2DEC(S5)</f>
        <v>0</v>
      </c>
      <c r="X5" s="59"/>
      <c r="Y5" s="59"/>
      <c r="Z5" s="85"/>
      <c r="AA5" s="59" t="str">
        <f>CONCATENATE(AA2,AB2,AC2,AD2,AE2,AF2,AG2,AH2)</f>
        <v>00000000</v>
      </c>
      <c r="AB5" s="59"/>
      <c r="AC5" s="59"/>
      <c r="AD5" s="59"/>
      <c r="AE5" s="59">
        <f>BIN2DEC(AA5)</f>
        <v>0</v>
      </c>
      <c r="AF5" s="59"/>
      <c r="AG5" s="59"/>
      <c r="AH5" s="72"/>
      <c r="AI5" s="55"/>
    </row>
    <row r="6" spans="2:35">
      <c r="B6" s="99"/>
      <c r="C6" s="71" t="str">
        <f>CONCATENATE(C3,D3,E3,F3,G3,H3,I3,J3,)</f>
        <v>11111111</v>
      </c>
      <c r="D6" s="59"/>
      <c r="E6" s="59"/>
      <c r="F6" s="59"/>
      <c r="G6" s="59">
        <f>BIN2DEC(C6)</f>
        <v>255</v>
      </c>
      <c r="H6" s="59"/>
      <c r="I6" s="59"/>
      <c r="J6" s="85"/>
      <c r="K6" s="93" t="str">
        <f>CONCATENATE(K3,L3,M3,N3,O3,P3,Q3,R3,)</f>
        <v>11111111</v>
      </c>
      <c r="L6" s="59"/>
      <c r="M6" s="59"/>
      <c r="N6" s="59"/>
      <c r="O6" s="59">
        <f>BIN2DEC(K6)</f>
        <v>255</v>
      </c>
      <c r="P6" s="59"/>
      <c r="Q6" s="59"/>
      <c r="R6" s="85"/>
      <c r="S6" s="93" t="str">
        <f>CONCATENATE(S3,T3,U3,V3,W3,X3,Y3,Z3,)</f>
        <v>11111111</v>
      </c>
      <c r="T6" s="59"/>
      <c r="U6" s="59"/>
      <c r="V6" s="59"/>
      <c r="W6" s="59">
        <f>BIN2DEC(S6)</f>
        <v>255</v>
      </c>
      <c r="X6" s="59"/>
      <c r="Y6" s="59"/>
      <c r="Z6" s="85"/>
      <c r="AA6" s="59" t="str">
        <f>CONCATENATE(AA3,AB3,AC3,AD3,AE3,AF3,AG3,AH3,)</f>
        <v>11111111</v>
      </c>
      <c r="AB6" s="59"/>
      <c r="AC6" s="59"/>
      <c r="AD6" s="59"/>
      <c r="AE6" s="59">
        <f>BIN2DEC(AA6)</f>
        <v>255</v>
      </c>
      <c r="AF6" s="59"/>
      <c r="AG6" s="59"/>
      <c r="AH6" s="72"/>
      <c r="AI6" s="55"/>
    </row>
    <row r="7" spans="2:35">
      <c r="B7" s="99"/>
      <c r="C7" s="73" t="b">
        <f>AND(VariableLengthSubnetMaskCalc.!D2+2&lt;C9,VariableLengthSubnetMaskCalc.!D2+2&gt;D9)</f>
        <v>0</v>
      </c>
      <c r="D7" s="60" t="b">
        <f>AND(VariableLengthSubnetMaskCalc.!D2+2&lt;D9,VariableLengthSubnetMaskCalc.!D2+2&gt;E9)</f>
        <v>0</v>
      </c>
      <c r="E7" s="60" t="b">
        <f>AND(VariableLengthSubnetMaskCalc.!D2+2&lt;E9,VariableLengthSubnetMaskCalc.!D2+2&gt;F9)</f>
        <v>0</v>
      </c>
      <c r="F7" s="60" t="b">
        <f>AND(VariableLengthSubnetMaskCalc.!D2+2&lt;F9,VariableLengthSubnetMaskCalc.!D2+2&gt;G9)</f>
        <v>0</v>
      </c>
      <c r="G7" s="60" t="b">
        <f>AND(VariableLengthSubnetMaskCalc.!D2+2&lt;G9,VariableLengthSubnetMaskCalc.!D2+2&gt;H9)</f>
        <v>0</v>
      </c>
      <c r="H7" s="60" t="b">
        <f>AND(VariableLengthSubnetMaskCalc.!D2+2&lt;H9,VariableLengthSubnetMaskCalc.!D2+2&gt;I9)</f>
        <v>0</v>
      </c>
      <c r="I7" s="60" t="b">
        <f>AND(VariableLengthSubnetMaskCalc.!D2+2&lt;I9,VariableLengthSubnetMaskCalc.!D2+2&gt;J9)</f>
        <v>0</v>
      </c>
      <c r="J7" s="86" t="b">
        <f>AND(VariableLengthSubnetMaskCalc.!D2+2&lt;J9,VariableLengthSubnetMaskCalc.!D2+2&gt;K9)</f>
        <v>0</v>
      </c>
      <c r="K7" s="94" t="b">
        <f>AND(VariableLengthSubnetMaskCalc.!D2+2&lt;K9,VariableLengthSubnetMaskCalc.!D2+2&gt;L9)</f>
        <v>0</v>
      </c>
      <c r="L7" s="60" t="b">
        <f>AND(VariableLengthSubnetMaskCalc.!D2+2&lt;L9,VariableLengthSubnetMaskCalc.!D2+2&gt;M9)</f>
        <v>0</v>
      </c>
      <c r="M7" s="60" t="b">
        <f>AND(VariableLengthSubnetMaskCalc.!D2+2&lt;M9,VariableLengthSubnetMaskCalc.!D2+2&gt;N9)</f>
        <v>0</v>
      </c>
      <c r="N7" s="60" t="b">
        <f>AND(VariableLengthSubnetMaskCalc.!D2+2&lt;N9,VariableLengthSubnetMaskCalc.!D2+2&gt;O9)</f>
        <v>0</v>
      </c>
      <c r="O7" s="60" t="b">
        <f>AND(VariableLengthSubnetMaskCalc.!D2+2&lt;O9,VariableLengthSubnetMaskCalc.!D2+2&gt;P9)</f>
        <v>0</v>
      </c>
      <c r="P7" s="60" t="b">
        <f>AND(VariableLengthSubnetMaskCalc.!D2+2&lt;P9,VariableLengthSubnetMaskCalc.!D2+2&gt;Q9)</f>
        <v>0</v>
      </c>
      <c r="Q7" s="60" t="b">
        <f>AND(VariableLengthSubnetMaskCalc.!D2+2&lt;Q9,VariableLengthSubnetMaskCalc.!D2+2&gt;R9)</f>
        <v>0</v>
      </c>
      <c r="R7" s="86" t="b">
        <f>AND(VariableLengthSubnetMaskCalc.!D2+2&lt;R9,VariableLengthSubnetMaskCalc.!D2+2&gt;S9)</f>
        <v>0</v>
      </c>
      <c r="S7" s="94" t="b">
        <f>AND(VariableLengthSubnetMaskCalc.!D2+2&lt;S9,VariableLengthSubnetMaskCalc.!D2+2&gt;T9)</f>
        <v>0</v>
      </c>
      <c r="T7" s="60" t="b">
        <f>AND(VariableLengthSubnetMaskCalc.!D2+2&lt;T9,VariableLengthSubnetMaskCalc.!D2+2&gt;U9)</f>
        <v>0</v>
      </c>
      <c r="U7" s="60" t="b">
        <f>AND(VariableLengthSubnetMaskCalc.!D2+2&lt;U9,VariableLengthSubnetMaskCalc.!D2+2&gt;V9)</f>
        <v>0</v>
      </c>
      <c r="V7" s="60" t="b">
        <f>AND(VariableLengthSubnetMaskCalc.!D2+2&lt;V9,VariableLengthSubnetMaskCalc.!D2+2&gt;W9)</f>
        <v>0</v>
      </c>
      <c r="W7" s="60" t="b">
        <f>AND(VariableLengthSubnetMaskCalc.!D2+2&lt;W9,VariableLengthSubnetMaskCalc.!D2+2&gt;X9)</f>
        <v>0</v>
      </c>
      <c r="X7" s="60" t="b">
        <f>AND(VariableLengthSubnetMaskCalc.!D2+2&lt;X9,VariableLengthSubnetMaskCalc.!D2+2&gt;Y9)</f>
        <v>0</v>
      </c>
      <c r="Y7" s="60" t="b">
        <f>AND(VariableLengthSubnetMaskCalc.!D2+2&lt;Y9,VariableLengthSubnetMaskCalc.!D2+2&gt;Z9)</f>
        <v>0</v>
      </c>
      <c r="Z7" s="86" t="b">
        <f>AND(VariableLengthSubnetMaskCalc.!D2+2&lt;Z9,VariableLengthSubnetMaskCalc.!D2+2&gt;AA9)</f>
        <v>0</v>
      </c>
      <c r="AA7" s="60" t="b">
        <f>AND(VariableLengthSubnetMaskCalc.!D2+2&lt;AA9,VariableLengthSubnetMaskCalc.!D2+2&gt;AB9)</f>
        <v>0</v>
      </c>
      <c r="AB7" s="60" t="b">
        <f>AND(VariableLengthSubnetMaskCalc.!D2+2&lt;AB9,VariableLengthSubnetMaskCalc.!D2+2&gt;AC9)</f>
        <v>0</v>
      </c>
      <c r="AC7" s="60" t="b">
        <f>AND(VariableLengthSubnetMaskCalc.!D2+2&lt;AC9,VariableLengthSubnetMaskCalc.!D2+2&gt;AD9)</f>
        <v>0</v>
      </c>
      <c r="AD7" s="60" t="b">
        <f>AND(VariableLengthSubnetMaskCalc.!D2+2&lt;AD9,VariableLengthSubnetMaskCalc.!D2+2&gt;AE9)</f>
        <v>0</v>
      </c>
      <c r="AE7" s="60" t="b">
        <f>AND(VariableLengthSubnetMaskCalc.!D2+2&lt;AE9,VariableLengthSubnetMaskCalc.!D2+2&gt;AF9)</f>
        <v>0</v>
      </c>
      <c r="AF7" s="60" t="b">
        <f>AND(VariableLengthSubnetMaskCalc.!D2+2&lt;AF9,VariableLengthSubnetMaskCalc.!D2+2&gt;AG9)</f>
        <v>0</v>
      </c>
      <c r="AG7" s="60" t="b">
        <f>AND(VariableLengthSubnetMaskCalc.!D2+2&lt;AG9,VariableLengthSubnetMaskCalc.!D2+2&gt;AH9)</f>
        <v>0</v>
      </c>
      <c r="AH7" s="74" t="b">
        <f>AND(VariableLengthSubnetMaskCalc.!D2+2&lt;AH9,VariableLengthSubnetMaskCalc.!D2+2&gt;0)</f>
        <v>0</v>
      </c>
      <c r="AI7" s="55"/>
    </row>
    <row r="8" spans="2:35">
      <c r="B8" s="99"/>
      <c r="C8" s="75">
        <f>AA9</f>
        <v>128</v>
      </c>
      <c r="D8" s="61">
        <f>AB9</f>
        <v>64</v>
      </c>
      <c r="E8" s="61">
        <f>AC9</f>
        <v>32</v>
      </c>
      <c r="F8" s="61">
        <f>AD9</f>
        <v>16</v>
      </c>
      <c r="G8" s="61">
        <f>AE9</f>
        <v>8</v>
      </c>
      <c r="H8" s="61">
        <f>AF9</f>
        <v>4</v>
      </c>
      <c r="I8" s="61">
        <f>AG9</f>
        <v>2</v>
      </c>
      <c r="J8" s="87">
        <f>AH9</f>
        <v>1</v>
      </c>
      <c r="K8" s="95">
        <f>AA9</f>
        <v>128</v>
      </c>
      <c r="L8" s="61">
        <f>AB9</f>
        <v>64</v>
      </c>
      <c r="M8" s="61">
        <f>AC9</f>
        <v>32</v>
      </c>
      <c r="N8" s="61">
        <f>AD9</f>
        <v>16</v>
      </c>
      <c r="O8" s="61">
        <f>AE9</f>
        <v>8</v>
      </c>
      <c r="P8" s="61">
        <f>AF9</f>
        <v>4</v>
      </c>
      <c r="Q8" s="61">
        <f>AG9</f>
        <v>2</v>
      </c>
      <c r="R8" s="87">
        <f>AH9</f>
        <v>1</v>
      </c>
      <c r="S8" s="95">
        <f>AA9</f>
        <v>128</v>
      </c>
      <c r="T8" s="61">
        <f>AB9</f>
        <v>64</v>
      </c>
      <c r="U8" s="61">
        <f>AC9</f>
        <v>32</v>
      </c>
      <c r="V8" s="61">
        <f>AD9</f>
        <v>16</v>
      </c>
      <c r="W8" s="61">
        <f>AE9</f>
        <v>8</v>
      </c>
      <c r="X8" s="61">
        <f>AF9</f>
        <v>4</v>
      </c>
      <c r="Y8" s="61">
        <f>AG9</f>
        <v>2</v>
      </c>
      <c r="Z8" s="87">
        <f>AH9</f>
        <v>1</v>
      </c>
      <c r="AA8" s="61">
        <f>AA9</f>
        <v>128</v>
      </c>
      <c r="AB8" s="61">
        <f>AB9</f>
        <v>64</v>
      </c>
      <c r="AC8" s="61">
        <f>AC9</f>
        <v>32</v>
      </c>
      <c r="AD8" s="61">
        <f>AD9</f>
        <v>16</v>
      </c>
      <c r="AE8" s="61">
        <f>AE9</f>
        <v>8</v>
      </c>
      <c r="AF8" s="61">
        <f>AF9</f>
        <v>4</v>
      </c>
      <c r="AG8" s="61">
        <f>AG9</f>
        <v>2</v>
      </c>
      <c r="AH8" s="76">
        <f>AH9</f>
        <v>1</v>
      </c>
      <c r="AI8" s="55"/>
    </row>
    <row r="9" spans="2:35">
      <c r="B9" s="99"/>
      <c r="C9" s="75">
        <f>D9*2</f>
        <v>2147483648</v>
      </c>
      <c r="D9" s="61">
        <f>E9*2</f>
        <v>1073741824</v>
      </c>
      <c r="E9" s="61">
        <f>F9*2</f>
        <v>536870912</v>
      </c>
      <c r="F9" s="61">
        <f>G9*2</f>
        <v>268435456</v>
      </c>
      <c r="G9" s="61">
        <f>H9*2</f>
        <v>134217728</v>
      </c>
      <c r="H9" s="61">
        <f>I9*2</f>
        <v>67108864</v>
      </c>
      <c r="I9" s="61">
        <f>J9*2</f>
        <v>33554432</v>
      </c>
      <c r="J9" s="87">
        <f>K9*2</f>
        <v>16777216</v>
      </c>
      <c r="K9" s="95">
        <f>L9*2</f>
        <v>8388608</v>
      </c>
      <c r="L9" s="61">
        <f>M9*2</f>
        <v>4194304</v>
      </c>
      <c r="M9" s="61">
        <f>N9*2</f>
        <v>2097152</v>
      </c>
      <c r="N9" s="61">
        <f>O9*2</f>
        <v>1048576</v>
      </c>
      <c r="O9" s="61">
        <f>P9*2</f>
        <v>524288</v>
      </c>
      <c r="P9" s="61">
        <f>Q9*2</f>
        <v>262144</v>
      </c>
      <c r="Q9" s="61">
        <f>R9*2</f>
        <v>131072</v>
      </c>
      <c r="R9" s="87">
        <f>S9*2</f>
        <v>65536</v>
      </c>
      <c r="S9" s="95">
        <f>T9*2</f>
        <v>32768</v>
      </c>
      <c r="T9" s="61">
        <f>U9*2</f>
        <v>16384</v>
      </c>
      <c r="U9" s="61">
        <f>V9*2</f>
        <v>8192</v>
      </c>
      <c r="V9" s="61">
        <f>W9*2</f>
        <v>4096</v>
      </c>
      <c r="W9" s="61">
        <f>X9*2</f>
        <v>2048</v>
      </c>
      <c r="X9" s="61">
        <f>Y9*2</f>
        <v>1024</v>
      </c>
      <c r="Y9" s="61">
        <f>Z9*2</f>
        <v>512</v>
      </c>
      <c r="Z9" s="87">
        <f>AA9*2</f>
        <v>256</v>
      </c>
      <c r="AA9" s="61">
        <f>AB9*2</f>
        <v>128</v>
      </c>
      <c r="AB9" s="61">
        <f>AC9*2</f>
        <v>64</v>
      </c>
      <c r="AC9" s="61">
        <f>AD9*2</f>
        <v>32</v>
      </c>
      <c r="AD9" s="61">
        <f>AE9*2</f>
        <v>16</v>
      </c>
      <c r="AE9" s="61">
        <f>AF9*2</f>
        <v>8</v>
      </c>
      <c r="AF9" s="61">
        <f>AG9*2</f>
        <v>4</v>
      </c>
      <c r="AG9" s="61">
        <f>AH9*2</f>
        <v>2</v>
      </c>
      <c r="AH9" s="76">
        <v>1</v>
      </c>
      <c r="AI9" s="55"/>
    </row>
    <row r="10" spans="2:35">
      <c r="B10" s="99"/>
      <c r="C10" s="77">
        <v>1</v>
      </c>
      <c r="D10" s="62"/>
      <c r="E10" s="62"/>
      <c r="F10" s="62"/>
      <c r="G10" s="62" t="str">
        <f>CONCATENATE(C10,"st")</f>
        <v>1st</v>
      </c>
      <c r="H10" s="62"/>
      <c r="I10" s="62"/>
      <c r="J10" s="88"/>
      <c r="K10" s="92"/>
      <c r="L10" s="58"/>
      <c r="M10" s="58"/>
      <c r="N10" s="58"/>
      <c r="O10" s="58"/>
      <c r="P10" s="58"/>
      <c r="Q10" s="58"/>
      <c r="R10" s="84"/>
      <c r="S10" s="92"/>
      <c r="T10" s="58"/>
      <c r="U10" s="58"/>
      <c r="V10" s="58"/>
      <c r="W10" s="58"/>
      <c r="X10" s="58"/>
      <c r="Y10" s="58"/>
      <c r="Z10" s="84"/>
      <c r="AA10" s="58"/>
      <c r="AB10" s="58"/>
      <c r="AC10" s="58"/>
      <c r="AD10" s="58"/>
      <c r="AE10" s="58"/>
      <c r="AF10" s="58"/>
      <c r="AG10" s="58"/>
      <c r="AH10" s="70"/>
      <c r="AI10" s="55"/>
    </row>
    <row r="11" spans="2:35" ht="15.75" thickBot="1">
      <c r="B11" s="100"/>
      <c r="C11" s="78" t="str">
        <f>IF(OR(VariableLengthSubnetMaskCalc.!$D$2=""),"",VariableLengthSubnetMaskCalc.!D2)</f>
        <v/>
      </c>
      <c r="D11" s="79"/>
      <c r="E11" s="79"/>
      <c r="F11" s="79"/>
      <c r="G11" s="79"/>
      <c r="H11" s="79"/>
      <c r="I11" s="79"/>
      <c r="J11" s="89"/>
      <c r="K11" s="96"/>
      <c r="L11" s="80"/>
      <c r="M11" s="80"/>
      <c r="N11" s="80"/>
      <c r="O11" s="80"/>
      <c r="P11" s="80"/>
      <c r="Q11" s="80"/>
      <c r="R11" s="97"/>
      <c r="S11" s="96"/>
      <c r="T11" s="80"/>
      <c r="U11" s="80"/>
      <c r="V11" s="80"/>
      <c r="W11" s="80"/>
      <c r="X11" s="80"/>
      <c r="Y11" s="80"/>
      <c r="Z11" s="97"/>
      <c r="AA11" s="80"/>
      <c r="AB11" s="80"/>
      <c r="AC11" s="80"/>
      <c r="AD11" s="80"/>
      <c r="AE11" s="80"/>
      <c r="AF11" s="80"/>
      <c r="AG11" s="80"/>
      <c r="AH11" s="81"/>
      <c r="AI11" s="55"/>
    </row>
    <row r="12" spans="2:35" ht="15" customHeight="1">
      <c r="B12" s="98" t="str">
        <f>VariableLengthSubnetMaskCalc.!B12</f>
        <v>2nd
Network</v>
      </c>
      <c r="C12" s="64">
        <f>IF(VariableLengthSubnetMaskCalc.!D13&gt;C19,0,1)</f>
        <v>0</v>
      </c>
      <c r="D12" s="65">
        <f>IF(VariableLengthSubnetMaskCalc.!D13&gt;D19,0,1)</f>
        <v>0</v>
      </c>
      <c r="E12" s="65">
        <f>IF(VariableLengthSubnetMaskCalc.!D13&gt;E19,0,1)</f>
        <v>0</v>
      </c>
      <c r="F12" s="65">
        <f>IF(VariableLengthSubnetMaskCalc.!D13&gt;F19,0,1)</f>
        <v>0</v>
      </c>
      <c r="G12" s="65">
        <f>IF(VariableLengthSubnetMaskCalc.!D13&gt;G19,0,1)</f>
        <v>0</v>
      </c>
      <c r="H12" s="65">
        <f>IF(VariableLengthSubnetMaskCalc.!D13&gt;H19,0,1)</f>
        <v>0</v>
      </c>
      <c r="I12" s="65">
        <f>IF(VariableLengthSubnetMaskCalc.!D13&gt;I19,0,1)</f>
        <v>0</v>
      </c>
      <c r="J12" s="82">
        <f>IF(VariableLengthSubnetMaskCalc.!D13&gt;J19,0,1)</f>
        <v>0</v>
      </c>
      <c r="K12" s="90">
        <f>IF(VariableLengthSubnetMaskCalc.!D13&gt;K19,0,1)</f>
        <v>0</v>
      </c>
      <c r="L12" s="65">
        <f>IF(VariableLengthSubnetMaskCalc.!D13&gt;L19,0,1)</f>
        <v>0</v>
      </c>
      <c r="M12" s="65">
        <f>IF(VariableLengthSubnetMaskCalc.!D13&gt;M19,0,1)</f>
        <v>0</v>
      </c>
      <c r="N12" s="65">
        <f>IF(VariableLengthSubnetMaskCalc.!D13&gt;N19,0,1)</f>
        <v>0</v>
      </c>
      <c r="O12" s="65">
        <f>IF(VariableLengthSubnetMaskCalc.!D13&gt;O19,0,1)</f>
        <v>0</v>
      </c>
      <c r="P12" s="65">
        <f>IF(VariableLengthSubnetMaskCalc.!D13&gt;P19,0,1)</f>
        <v>0</v>
      </c>
      <c r="Q12" s="65">
        <f>IF(VariableLengthSubnetMaskCalc.!D13&gt;Q19,0,1)</f>
        <v>0</v>
      </c>
      <c r="R12" s="82">
        <f>IF(VariableLengthSubnetMaskCalc.!D13&gt;R19,0,1)</f>
        <v>0</v>
      </c>
      <c r="S12" s="90">
        <f>IF(VariableLengthSubnetMaskCalc.!D13&gt;S19,0,1)</f>
        <v>0</v>
      </c>
      <c r="T12" s="65">
        <f>IF(VariableLengthSubnetMaskCalc.!D13&gt;T19,0,1)</f>
        <v>0</v>
      </c>
      <c r="U12" s="65">
        <f>IF(VariableLengthSubnetMaskCalc.!D13&gt;U19,0,1)</f>
        <v>0</v>
      </c>
      <c r="V12" s="65">
        <f>IF(VariableLengthSubnetMaskCalc.!D13&gt;V19,0,1)</f>
        <v>0</v>
      </c>
      <c r="W12" s="65">
        <f>IF(VariableLengthSubnetMaskCalc.!D13&gt;W19,0,1)</f>
        <v>0</v>
      </c>
      <c r="X12" s="65">
        <f>IF(VariableLengthSubnetMaskCalc.!D13&gt;X19,0,1)</f>
        <v>0</v>
      </c>
      <c r="Y12" s="65">
        <f>IF(VariableLengthSubnetMaskCalc.!D13&gt;Y19,0,1)</f>
        <v>0</v>
      </c>
      <c r="Z12" s="82">
        <f>IF(VariableLengthSubnetMaskCalc.!D13&gt;Z19,0,1)</f>
        <v>0</v>
      </c>
      <c r="AA12" s="65">
        <f>IF(VariableLengthSubnetMaskCalc.!D13&gt;AA19,0,1)</f>
        <v>0</v>
      </c>
      <c r="AB12" s="65">
        <f>IF(VariableLengthSubnetMaskCalc.!D13&gt;AB19,0,1)</f>
        <v>0</v>
      </c>
      <c r="AC12" s="65">
        <f>IF(VariableLengthSubnetMaskCalc.!D13&gt;AC19,0,1)</f>
        <v>0</v>
      </c>
      <c r="AD12" s="65">
        <f>IF(VariableLengthSubnetMaskCalc.!D13&gt;AD19,0,1)</f>
        <v>0</v>
      </c>
      <c r="AE12" s="65">
        <f>IF(VariableLengthSubnetMaskCalc.!D13&gt;AE19,0,1)</f>
        <v>0</v>
      </c>
      <c r="AF12" s="65">
        <f>IF(VariableLengthSubnetMaskCalc.!D13&gt;AF19,0,1)</f>
        <v>0</v>
      </c>
      <c r="AG12" s="65">
        <f>IF(VariableLengthSubnetMaskCalc.!D13&gt;AG19,0,1)</f>
        <v>0</v>
      </c>
      <c r="AH12" s="66">
        <f>IF(VariableLengthSubnetMaskCalc.!D13&gt;AH19,0,1)</f>
        <v>0</v>
      </c>
      <c r="AI12" s="55"/>
    </row>
    <row r="13" spans="2:35">
      <c r="B13" s="99"/>
      <c r="C13" s="67">
        <f>IF(C12=1,0,1)</f>
        <v>1</v>
      </c>
      <c r="D13" s="57">
        <f>IF(D12=1,0,1)</f>
        <v>1</v>
      </c>
      <c r="E13" s="57">
        <f>IF(E12=1,0,1)</f>
        <v>1</v>
      </c>
      <c r="F13" s="57">
        <f>IF(F12=1,0,1)</f>
        <v>1</v>
      </c>
      <c r="G13" s="57">
        <f>IF(G12=1,0,1)</f>
        <v>1</v>
      </c>
      <c r="H13" s="57">
        <f>IF(H12=1,0,1)</f>
        <v>1</v>
      </c>
      <c r="I13" s="57">
        <f>IF(I12=1,0,1)</f>
        <v>1</v>
      </c>
      <c r="J13" s="83">
        <f>IF(J12=1,0,1)</f>
        <v>1</v>
      </c>
      <c r="K13" s="91">
        <f>IF(K12=1,0,1)</f>
        <v>1</v>
      </c>
      <c r="L13" s="57">
        <f>IF(L12=1,0,1)</f>
        <v>1</v>
      </c>
      <c r="M13" s="57">
        <f>IF(M12=1,0,1)</f>
        <v>1</v>
      </c>
      <c r="N13" s="57">
        <f>IF(N12=1,0,1)</f>
        <v>1</v>
      </c>
      <c r="O13" s="57">
        <f>IF(O12=1,0,1)</f>
        <v>1</v>
      </c>
      <c r="P13" s="57">
        <f>IF(P12=1,0,1)</f>
        <v>1</v>
      </c>
      <c r="Q13" s="57">
        <f>IF(Q12=1,0,1)</f>
        <v>1</v>
      </c>
      <c r="R13" s="83">
        <f>IF(R12=1,0,1)</f>
        <v>1</v>
      </c>
      <c r="S13" s="91">
        <f>IF(S12=1,0,1)</f>
        <v>1</v>
      </c>
      <c r="T13" s="57">
        <f>IF(T12=1,0,1)</f>
        <v>1</v>
      </c>
      <c r="U13" s="57">
        <f>IF(U12=1,0,1)</f>
        <v>1</v>
      </c>
      <c r="V13" s="57">
        <f>IF(V12=1,0,1)</f>
        <v>1</v>
      </c>
      <c r="W13" s="57">
        <f>IF(W12=1,0,1)</f>
        <v>1</v>
      </c>
      <c r="X13" s="57">
        <f>IF(X12=1,0,1)</f>
        <v>1</v>
      </c>
      <c r="Y13" s="57">
        <f>IF(Y12=1,0,1)</f>
        <v>1</v>
      </c>
      <c r="Z13" s="83">
        <f>IF(Z12=1,0,1)</f>
        <v>1</v>
      </c>
      <c r="AA13" s="57">
        <f>IF(AA12=1,0,1)</f>
        <v>1</v>
      </c>
      <c r="AB13" s="57">
        <f>IF(AB12=1,0,1)</f>
        <v>1</v>
      </c>
      <c r="AC13" s="57">
        <f>IF(AC12=1,0,1)</f>
        <v>1</v>
      </c>
      <c r="AD13" s="57">
        <f>IF(AD12=1,0,1)</f>
        <v>1</v>
      </c>
      <c r="AE13" s="57">
        <f>IF(AE12=1,0,1)</f>
        <v>1</v>
      </c>
      <c r="AF13" s="57">
        <f>IF(AF12=1,0,1)</f>
        <v>1</v>
      </c>
      <c r="AG13" s="57">
        <f>IF(AG12=1,0,1)</f>
        <v>1</v>
      </c>
      <c r="AH13" s="68">
        <f>IF(AH12=1,0,1)</f>
        <v>1</v>
      </c>
      <c r="AI13" s="55"/>
    </row>
    <row r="14" spans="2:35">
      <c r="B14" s="99"/>
      <c r="C14" s="69"/>
      <c r="D14" s="58"/>
      <c r="E14" s="58"/>
      <c r="F14" s="58"/>
      <c r="G14" s="58"/>
      <c r="H14" s="58"/>
      <c r="I14" s="58"/>
      <c r="J14" s="84"/>
      <c r="K14" s="92"/>
      <c r="L14" s="58"/>
      <c r="M14" s="58"/>
      <c r="N14" s="58"/>
      <c r="O14" s="58"/>
      <c r="P14" s="58"/>
      <c r="Q14" s="58"/>
      <c r="R14" s="84"/>
      <c r="S14" s="92"/>
      <c r="T14" s="58"/>
      <c r="U14" s="58"/>
      <c r="V14" s="58"/>
      <c r="W14" s="58"/>
      <c r="X14" s="58"/>
      <c r="Y14" s="58"/>
      <c r="Z14" s="84"/>
      <c r="AA14" s="58"/>
      <c r="AB14" s="58"/>
      <c r="AC14" s="58"/>
      <c r="AD14" s="58"/>
      <c r="AE14" s="58"/>
      <c r="AF14" s="58"/>
      <c r="AG14" s="58"/>
      <c r="AH14" s="70"/>
      <c r="AI14" s="55"/>
    </row>
    <row r="15" spans="2:35">
      <c r="B15" s="99"/>
      <c r="C15" s="71" t="str">
        <f>CONCATENATE(C12,D12,E12,F12,G12,H12,I12,J12)</f>
        <v>00000000</v>
      </c>
      <c r="D15" s="59"/>
      <c r="E15" s="59"/>
      <c r="F15" s="59"/>
      <c r="G15" s="59">
        <f>BIN2DEC(C15)</f>
        <v>0</v>
      </c>
      <c r="H15" s="59"/>
      <c r="I15" s="59"/>
      <c r="J15" s="85"/>
      <c r="K15" s="93" t="str">
        <f>CONCATENATE(K12,L12,M12,N12,O12,P12,Q12,R12)</f>
        <v>00000000</v>
      </c>
      <c r="L15" s="59"/>
      <c r="M15" s="59"/>
      <c r="N15" s="59"/>
      <c r="O15" s="59">
        <f>BIN2DEC(K15)</f>
        <v>0</v>
      </c>
      <c r="P15" s="59"/>
      <c r="Q15" s="59"/>
      <c r="R15" s="85"/>
      <c r="S15" s="93" t="str">
        <f>CONCATENATE(S12,T12,U12,V12,W12,X12,Y12,Z12)</f>
        <v>00000000</v>
      </c>
      <c r="T15" s="59"/>
      <c r="U15" s="59"/>
      <c r="V15" s="59"/>
      <c r="W15" s="59">
        <f>BIN2DEC(S15)</f>
        <v>0</v>
      </c>
      <c r="X15" s="59"/>
      <c r="Y15" s="59"/>
      <c r="Z15" s="85"/>
      <c r="AA15" s="59" t="str">
        <f>CONCATENATE(AA12,AB12,AC12,AD12,AE12,AF12,AG12,AH12)</f>
        <v>00000000</v>
      </c>
      <c r="AB15" s="59"/>
      <c r="AC15" s="59"/>
      <c r="AD15" s="59"/>
      <c r="AE15" s="59">
        <f>BIN2DEC(AA15)</f>
        <v>0</v>
      </c>
      <c r="AF15" s="59"/>
      <c r="AG15" s="59"/>
      <c r="AH15" s="72"/>
      <c r="AI15" s="55"/>
    </row>
    <row r="16" spans="2:35">
      <c r="B16" s="99"/>
      <c r="C16" s="71" t="str">
        <f>CONCATENATE(C13,D13,E13,F13,G13,H13,I13,J13,)</f>
        <v>11111111</v>
      </c>
      <c r="D16" s="59"/>
      <c r="E16" s="59"/>
      <c r="F16" s="59"/>
      <c r="G16" s="59">
        <f>BIN2DEC(C16)</f>
        <v>255</v>
      </c>
      <c r="H16" s="59"/>
      <c r="I16" s="59"/>
      <c r="J16" s="85"/>
      <c r="K16" s="93" t="str">
        <f>CONCATENATE(K13,L13,M13,N13,O13,P13,Q13,R13,)</f>
        <v>11111111</v>
      </c>
      <c r="L16" s="59"/>
      <c r="M16" s="59"/>
      <c r="N16" s="59"/>
      <c r="O16" s="59">
        <f>BIN2DEC(K16)</f>
        <v>255</v>
      </c>
      <c r="P16" s="59"/>
      <c r="Q16" s="59"/>
      <c r="R16" s="85"/>
      <c r="S16" s="93" t="str">
        <f>CONCATENATE(S13,T13,U13,V13,W13,X13,Y13,Z13,)</f>
        <v>11111111</v>
      </c>
      <c r="T16" s="59"/>
      <c r="U16" s="59"/>
      <c r="V16" s="59"/>
      <c r="W16" s="59">
        <f>BIN2DEC(S16)</f>
        <v>255</v>
      </c>
      <c r="X16" s="59"/>
      <c r="Y16" s="59"/>
      <c r="Z16" s="85"/>
      <c r="AA16" s="59" t="str">
        <f>CONCATENATE(AA13,AB13,AC13,AD13,AE13,AF13,AG13,AH13,)</f>
        <v>11111111</v>
      </c>
      <c r="AB16" s="59"/>
      <c r="AC16" s="59"/>
      <c r="AD16" s="59"/>
      <c r="AE16" s="59">
        <f>BIN2DEC(AA16)</f>
        <v>255</v>
      </c>
      <c r="AF16" s="59"/>
      <c r="AG16" s="59"/>
      <c r="AH16" s="72"/>
      <c r="AI16" s="55"/>
    </row>
    <row r="17" spans="2:35">
      <c r="B17" s="99"/>
      <c r="C17" s="73" t="b">
        <f>AND(VariableLengthSubnetMaskCalc.!D12+2&lt;C19,VariableLengthSubnetMaskCalc.!D12+2&gt;D19)</f>
        <v>0</v>
      </c>
      <c r="D17" s="60" t="b">
        <f>AND(VariableLengthSubnetMaskCalc.!D12+2&lt;D19,VariableLengthSubnetMaskCalc.!D12+2&gt;E19)</f>
        <v>0</v>
      </c>
      <c r="E17" s="60" t="b">
        <f>AND(VariableLengthSubnetMaskCalc.!D12+2&lt;E19,VariableLengthSubnetMaskCalc.!D12+2&gt;F19)</f>
        <v>0</v>
      </c>
      <c r="F17" s="60" t="b">
        <f>AND(VariableLengthSubnetMaskCalc.!D12+2&lt;F19,VariableLengthSubnetMaskCalc.!D12+2&gt;G19)</f>
        <v>0</v>
      </c>
      <c r="G17" s="60" t="b">
        <f>AND(VariableLengthSubnetMaskCalc.!D12+2&lt;G19,VariableLengthSubnetMaskCalc.!D12+2&gt;H19)</f>
        <v>0</v>
      </c>
      <c r="H17" s="60" t="b">
        <f>AND(VariableLengthSubnetMaskCalc.!D12+2&lt;H19,VariableLengthSubnetMaskCalc.!D12+2&gt;I19)</f>
        <v>0</v>
      </c>
      <c r="I17" s="60" t="b">
        <f>AND(VariableLengthSubnetMaskCalc.!D12+2&lt;I19,VariableLengthSubnetMaskCalc.!D12+2&gt;J19)</f>
        <v>0</v>
      </c>
      <c r="J17" s="86" t="b">
        <f>AND(VariableLengthSubnetMaskCalc.!D12+2&lt;J19,VariableLengthSubnetMaskCalc.!D12+2&gt;K19)</f>
        <v>0</v>
      </c>
      <c r="K17" s="94" t="b">
        <f>AND(VariableLengthSubnetMaskCalc.!D12+2&lt;K19,VariableLengthSubnetMaskCalc.!D12+2&gt;L19)</f>
        <v>0</v>
      </c>
      <c r="L17" s="60" t="b">
        <f>AND(VariableLengthSubnetMaskCalc.!D12+2&lt;L19,VariableLengthSubnetMaskCalc.!D12+2&gt;M19)</f>
        <v>0</v>
      </c>
      <c r="M17" s="60" t="b">
        <f>AND(VariableLengthSubnetMaskCalc.!D12+2&lt;M19,VariableLengthSubnetMaskCalc.!D12+2&gt;N19)</f>
        <v>0</v>
      </c>
      <c r="N17" s="60" t="b">
        <f>AND(VariableLengthSubnetMaskCalc.!D12+2&lt;N19,VariableLengthSubnetMaskCalc.!D12+2&gt;O19)</f>
        <v>0</v>
      </c>
      <c r="O17" s="60" t="b">
        <f>AND(VariableLengthSubnetMaskCalc.!D12+2&lt;O19,VariableLengthSubnetMaskCalc.!D12+2&gt;P19)</f>
        <v>0</v>
      </c>
      <c r="P17" s="60" t="b">
        <f>AND(VariableLengthSubnetMaskCalc.!D12+2&lt;P19,VariableLengthSubnetMaskCalc.!D12+2&gt;Q19)</f>
        <v>0</v>
      </c>
      <c r="Q17" s="60" t="b">
        <f>AND(VariableLengthSubnetMaskCalc.!D12+2&lt;Q19,VariableLengthSubnetMaskCalc.!D12+2&gt;R19)</f>
        <v>0</v>
      </c>
      <c r="R17" s="86" t="b">
        <f>AND(VariableLengthSubnetMaskCalc.!D12+2&lt;R19,VariableLengthSubnetMaskCalc.!D12+2&gt;S19)</f>
        <v>0</v>
      </c>
      <c r="S17" s="94" t="b">
        <f>AND(VariableLengthSubnetMaskCalc.!D12+2&lt;S19,VariableLengthSubnetMaskCalc.!D12+2&gt;T19)</f>
        <v>0</v>
      </c>
      <c r="T17" s="60" t="b">
        <f>AND(VariableLengthSubnetMaskCalc.!D12+2&lt;T19,VariableLengthSubnetMaskCalc.!D12+2&gt;U19)</f>
        <v>0</v>
      </c>
      <c r="U17" s="60" t="b">
        <f>AND(VariableLengthSubnetMaskCalc.!D12+2&lt;U19,VariableLengthSubnetMaskCalc.!D12+2&gt;V19)</f>
        <v>0</v>
      </c>
      <c r="V17" s="60" t="b">
        <f>AND(VariableLengthSubnetMaskCalc.!D12+2&lt;V19,VariableLengthSubnetMaskCalc.!D12+2&gt;W19)</f>
        <v>0</v>
      </c>
      <c r="W17" s="60" t="b">
        <f>AND(VariableLengthSubnetMaskCalc.!D12+2&lt;W19,VariableLengthSubnetMaskCalc.!D12+2&gt;X19)</f>
        <v>0</v>
      </c>
      <c r="X17" s="60" t="b">
        <f>AND(VariableLengthSubnetMaskCalc.!D12+2&lt;X19,VariableLengthSubnetMaskCalc.!D12+2&gt;Y19)</f>
        <v>0</v>
      </c>
      <c r="Y17" s="60" t="b">
        <f>AND(VariableLengthSubnetMaskCalc.!D12+2&lt;Y19,VariableLengthSubnetMaskCalc.!D12+2&gt;Z19)</f>
        <v>0</v>
      </c>
      <c r="Z17" s="86" t="b">
        <f>AND(VariableLengthSubnetMaskCalc.!D12+2&lt;Z19,VariableLengthSubnetMaskCalc.!D12+2&gt;AA19)</f>
        <v>0</v>
      </c>
      <c r="AA17" s="60" t="b">
        <f>AND(VariableLengthSubnetMaskCalc.!D12+2&lt;AA19,VariableLengthSubnetMaskCalc.!D12+2&gt;AB19)</f>
        <v>0</v>
      </c>
      <c r="AB17" s="60" t="b">
        <f>AND(VariableLengthSubnetMaskCalc.!D12+2&lt;AB19,VariableLengthSubnetMaskCalc.!D12+2&gt;AC19)</f>
        <v>0</v>
      </c>
      <c r="AC17" s="60" t="b">
        <f>AND(VariableLengthSubnetMaskCalc.!D12+2&lt;AC19,VariableLengthSubnetMaskCalc.!D12+2&gt;AD19)</f>
        <v>0</v>
      </c>
      <c r="AD17" s="60" t="b">
        <f>AND(VariableLengthSubnetMaskCalc.!D12+2&lt;AD19,VariableLengthSubnetMaskCalc.!D12+2&gt;AE19)</f>
        <v>0</v>
      </c>
      <c r="AE17" s="60" t="b">
        <f>AND(VariableLengthSubnetMaskCalc.!D12+2&lt;AE19,VariableLengthSubnetMaskCalc.!D12+2&gt;AF19)</f>
        <v>0</v>
      </c>
      <c r="AF17" s="60" t="b">
        <f>AND(VariableLengthSubnetMaskCalc.!D12+2&lt;AF19,VariableLengthSubnetMaskCalc.!D12+2&gt;AG19)</f>
        <v>0</v>
      </c>
      <c r="AG17" s="60" t="b">
        <f>AND(VariableLengthSubnetMaskCalc.!D12+2&lt;AG19,VariableLengthSubnetMaskCalc.!D12+2&gt;AH19)</f>
        <v>0</v>
      </c>
      <c r="AH17" s="74" t="b">
        <f>AND(VariableLengthSubnetMaskCalc.!D12+2&lt;AH19,VariableLengthSubnetMaskCalc.!D12+2&gt;0)</f>
        <v>0</v>
      </c>
      <c r="AI17" s="55"/>
    </row>
    <row r="18" spans="2:35">
      <c r="B18" s="99"/>
      <c r="C18" s="75">
        <f>AA19</f>
        <v>128</v>
      </c>
      <c r="D18" s="61">
        <f>AB19</f>
        <v>64</v>
      </c>
      <c r="E18" s="61">
        <f>AC19</f>
        <v>32</v>
      </c>
      <c r="F18" s="61">
        <f>AD19</f>
        <v>16</v>
      </c>
      <c r="G18" s="61">
        <f>AE19</f>
        <v>8</v>
      </c>
      <c r="H18" s="61">
        <f>AF19</f>
        <v>4</v>
      </c>
      <c r="I18" s="61">
        <f>AG19</f>
        <v>2</v>
      </c>
      <c r="J18" s="87">
        <f>AH19</f>
        <v>1</v>
      </c>
      <c r="K18" s="95">
        <f>AA19</f>
        <v>128</v>
      </c>
      <c r="L18" s="61">
        <f>AB19</f>
        <v>64</v>
      </c>
      <c r="M18" s="61">
        <f>AC19</f>
        <v>32</v>
      </c>
      <c r="N18" s="61">
        <f>AD19</f>
        <v>16</v>
      </c>
      <c r="O18" s="61">
        <f>AE19</f>
        <v>8</v>
      </c>
      <c r="P18" s="61">
        <f>AF19</f>
        <v>4</v>
      </c>
      <c r="Q18" s="61">
        <f>AG19</f>
        <v>2</v>
      </c>
      <c r="R18" s="87">
        <f>AH19</f>
        <v>1</v>
      </c>
      <c r="S18" s="95">
        <f>AA19</f>
        <v>128</v>
      </c>
      <c r="T18" s="61">
        <f>AB19</f>
        <v>64</v>
      </c>
      <c r="U18" s="61">
        <f>AC19</f>
        <v>32</v>
      </c>
      <c r="V18" s="61">
        <f>AD19</f>
        <v>16</v>
      </c>
      <c r="W18" s="61">
        <f>AE19</f>
        <v>8</v>
      </c>
      <c r="X18" s="61">
        <f>AF19</f>
        <v>4</v>
      </c>
      <c r="Y18" s="61">
        <f>AG19</f>
        <v>2</v>
      </c>
      <c r="Z18" s="87">
        <f>AH19</f>
        <v>1</v>
      </c>
      <c r="AA18" s="61">
        <f>AA19</f>
        <v>128</v>
      </c>
      <c r="AB18" s="61">
        <f>AB19</f>
        <v>64</v>
      </c>
      <c r="AC18" s="61">
        <f>AC19</f>
        <v>32</v>
      </c>
      <c r="AD18" s="61">
        <f>AD19</f>
        <v>16</v>
      </c>
      <c r="AE18" s="61">
        <f>AE19</f>
        <v>8</v>
      </c>
      <c r="AF18" s="61">
        <f>AF19</f>
        <v>4</v>
      </c>
      <c r="AG18" s="61">
        <f>AG19</f>
        <v>2</v>
      </c>
      <c r="AH18" s="76">
        <f>AH19</f>
        <v>1</v>
      </c>
      <c r="AI18" s="55"/>
    </row>
    <row r="19" spans="2:35">
      <c r="B19" s="99"/>
      <c r="C19" s="75">
        <f>D19*2</f>
        <v>2147483648</v>
      </c>
      <c r="D19" s="61">
        <f>E19*2</f>
        <v>1073741824</v>
      </c>
      <c r="E19" s="61">
        <f>F19*2</f>
        <v>536870912</v>
      </c>
      <c r="F19" s="61">
        <f>G19*2</f>
        <v>268435456</v>
      </c>
      <c r="G19" s="61">
        <f>H19*2</f>
        <v>134217728</v>
      </c>
      <c r="H19" s="61">
        <f>I19*2</f>
        <v>67108864</v>
      </c>
      <c r="I19" s="61">
        <f>J19*2</f>
        <v>33554432</v>
      </c>
      <c r="J19" s="87">
        <f>K19*2</f>
        <v>16777216</v>
      </c>
      <c r="K19" s="95">
        <f>L19*2</f>
        <v>8388608</v>
      </c>
      <c r="L19" s="61">
        <f>M19*2</f>
        <v>4194304</v>
      </c>
      <c r="M19" s="61">
        <f>N19*2</f>
        <v>2097152</v>
      </c>
      <c r="N19" s="61">
        <f>O19*2</f>
        <v>1048576</v>
      </c>
      <c r="O19" s="61">
        <f>P19*2</f>
        <v>524288</v>
      </c>
      <c r="P19" s="61">
        <f>Q19*2</f>
        <v>262144</v>
      </c>
      <c r="Q19" s="61">
        <f>R19*2</f>
        <v>131072</v>
      </c>
      <c r="R19" s="87">
        <f>S19*2</f>
        <v>65536</v>
      </c>
      <c r="S19" s="95">
        <f>T19*2</f>
        <v>32768</v>
      </c>
      <c r="T19" s="61">
        <f>U19*2</f>
        <v>16384</v>
      </c>
      <c r="U19" s="61">
        <f>V19*2</f>
        <v>8192</v>
      </c>
      <c r="V19" s="61">
        <f>W19*2</f>
        <v>4096</v>
      </c>
      <c r="W19" s="61">
        <f>X19*2</f>
        <v>2048</v>
      </c>
      <c r="X19" s="61">
        <f>Y19*2</f>
        <v>1024</v>
      </c>
      <c r="Y19" s="61">
        <f>Z19*2</f>
        <v>512</v>
      </c>
      <c r="Z19" s="87">
        <f>AA19*2</f>
        <v>256</v>
      </c>
      <c r="AA19" s="61">
        <f>AB19*2</f>
        <v>128</v>
      </c>
      <c r="AB19" s="61">
        <f>AC19*2</f>
        <v>64</v>
      </c>
      <c r="AC19" s="61">
        <f>AD19*2</f>
        <v>32</v>
      </c>
      <c r="AD19" s="61">
        <f>AE19*2</f>
        <v>16</v>
      </c>
      <c r="AE19" s="61">
        <f>AF19*2</f>
        <v>8</v>
      </c>
      <c r="AF19" s="61">
        <f>AG19*2</f>
        <v>4</v>
      </c>
      <c r="AG19" s="61">
        <f>AH19*2</f>
        <v>2</v>
      </c>
      <c r="AH19" s="76">
        <v>1</v>
      </c>
      <c r="AI19" s="55"/>
    </row>
    <row r="20" spans="2:35">
      <c r="B20" s="99"/>
      <c r="C20" s="77">
        <f>C10+1</f>
        <v>2</v>
      </c>
      <c r="D20" s="62"/>
      <c r="E20" s="62"/>
      <c r="F20" s="62"/>
      <c r="G20" s="62" t="str">
        <f>CONCATENATE(C20,"nd")</f>
        <v>2nd</v>
      </c>
      <c r="H20" s="62"/>
      <c r="I20" s="62"/>
      <c r="J20" s="88"/>
      <c r="K20" s="92"/>
      <c r="L20" s="58"/>
      <c r="M20" s="58"/>
      <c r="N20" s="58"/>
      <c r="O20" s="58"/>
      <c r="P20" s="58"/>
      <c r="Q20" s="58"/>
      <c r="R20" s="84"/>
      <c r="S20" s="92"/>
      <c r="T20" s="58"/>
      <c r="U20" s="58"/>
      <c r="V20" s="58"/>
      <c r="W20" s="58"/>
      <c r="X20" s="58"/>
      <c r="Y20" s="58"/>
      <c r="Z20" s="84"/>
      <c r="AA20" s="58"/>
      <c r="AB20" s="58"/>
      <c r="AC20" s="58"/>
      <c r="AD20" s="58"/>
      <c r="AE20" s="58"/>
      <c r="AF20" s="58"/>
      <c r="AG20" s="58"/>
      <c r="AH20" s="70"/>
      <c r="AI20" s="55"/>
    </row>
    <row r="21" spans="2:35" ht="15.75" thickBot="1">
      <c r="B21" s="100"/>
      <c r="C21" s="78" t="str">
        <f>IF(OR(VariableLengthSubnetMaskCalc.!$D$2="",VariableLengthSubnetMaskCalc.!$D$12=""),"",VariableLengthSubnetMaskCalc.!D12)</f>
        <v/>
      </c>
      <c r="D21" s="79"/>
      <c r="E21" s="79"/>
      <c r="F21" s="79"/>
      <c r="G21" s="79"/>
      <c r="H21" s="79"/>
      <c r="I21" s="79"/>
      <c r="J21" s="89"/>
      <c r="K21" s="96"/>
      <c r="L21" s="80"/>
      <c r="M21" s="80"/>
      <c r="N21" s="80"/>
      <c r="O21" s="80"/>
      <c r="P21" s="80"/>
      <c r="Q21" s="80"/>
      <c r="R21" s="97"/>
      <c r="S21" s="96"/>
      <c r="T21" s="80"/>
      <c r="U21" s="80"/>
      <c r="V21" s="80"/>
      <c r="W21" s="80"/>
      <c r="X21" s="80"/>
      <c r="Y21" s="80"/>
      <c r="Z21" s="97"/>
      <c r="AA21" s="80"/>
      <c r="AB21" s="80"/>
      <c r="AC21" s="80"/>
      <c r="AD21" s="80"/>
      <c r="AE21" s="80"/>
      <c r="AF21" s="80"/>
      <c r="AG21" s="80"/>
      <c r="AH21" s="81"/>
      <c r="AI21" s="55"/>
    </row>
    <row r="22" spans="2:35" ht="15" customHeight="1">
      <c r="B22" s="98" t="str">
        <f>VariableLengthSubnetMaskCalc.!B22</f>
        <v>3rd
Network</v>
      </c>
      <c r="C22" s="64">
        <f>IF(VariableLengthSubnetMaskCalc.!D23&gt;C29,0,1)</f>
        <v>0</v>
      </c>
      <c r="D22" s="65">
        <f>IF(VariableLengthSubnetMaskCalc.!D23&gt;D29,0,1)</f>
        <v>0</v>
      </c>
      <c r="E22" s="65">
        <f>IF(VariableLengthSubnetMaskCalc.!D23&gt;E29,0,1)</f>
        <v>0</v>
      </c>
      <c r="F22" s="65">
        <f>IF(VariableLengthSubnetMaskCalc.!D23&gt;F29,0,1)</f>
        <v>0</v>
      </c>
      <c r="G22" s="65">
        <f>IF(VariableLengthSubnetMaskCalc.!D23&gt;G29,0,1)</f>
        <v>0</v>
      </c>
      <c r="H22" s="65">
        <f>IF(VariableLengthSubnetMaskCalc.!D23&gt;H29,0,1)</f>
        <v>0</v>
      </c>
      <c r="I22" s="65">
        <f>IF(VariableLengthSubnetMaskCalc.!D23&gt;I29,0,1)</f>
        <v>0</v>
      </c>
      <c r="J22" s="82">
        <f>IF(VariableLengthSubnetMaskCalc.!D23&gt;J29,0,1)</f>
        <v>0</v>
      </c>
      <c r="K22" s="90">
        <f>IF(VariableLengthSubnetMaskCalc.!D23&gt;K29,0,1)</f>
        <v>0</v>
      </c>
      <c r="L22" s="65">
        <f>IF(VariableLengthSubnetMaskCalc.!D23&gt;L29,0,1)</f>
        <v>0</v>
      </c>
      <c r="M22" s="65">
        <f>IF(VariableLengthSubnetMaskCalc.!D23&gt;M29,0,1)</f>
        <v>0</v>
      </c>
      <c r="N22" s="65">
        <f>IF(VariableLengthSubnetMaskCalc.!D23&gt;N29,0,1)</f>
        <v>0</v>
      </c>
      <c r="O22" s="65">
        <f>IF(VariableLengthSubnetMaskCalc.!D23&gt;O29,0,1)</f>
        <v>0</v>
      </c>
      <c r="P22" s="65">
        <f>IF(VariableLengthSubnetMaskCalc.!D23&gt;P29,0,1)</f>
        <v>0</v>
      </c>
      <c r="Q22" s="65">
        <f>IF(VariableLengthSubnetMaskCalc.!D23&gt;Q29,0,1)</f>
        <v>0</v>
      </c>
      <c r="R22" s="82">
        <f>IF(VariableLengthSubnetMaskCalc.!D23&gt;R29,0,1)</f>
        <v>0</v>
      </c>
      <c r="S22" s="90">
        <f>IF(VariableLengthSubnetMaskCalc.!D23&gt;S29,0,1)</f>
        <v>0</v>
      </c>
      <c r="T22" s="65">
        <f>IF(VariableLengthSubnetMaskCalc.!D23&gt;T29,0,1)</f>
        <v>0</v>
      </c>
      <c r="U22" s="65">
        <f>IF(VariableLengthSubnetMaskCalc.!D23&gt;U29,0,1)</f>
        <v>0</v>
      </c>
      <c r="V22" s="65">
        <f>IF(VariableLengthSubnetMaskCalc.!D23&gt;V29,0,1)</f>
        <v>0</v>
      </c>
      <c r="W22" s="65">
        <f>IF(VariableLengthSubnetMaskCalc.!D23&gt;W29,0,1)</f>
        <v>0</v>
      </c>
      <c r="X22" s="65">
        <f>IF(VariableLengthSubnetMaskCalc.!D23&gt;X29,0,1)</f>
        <v>0</v>
      </c>
      <c r="Y22" s="65">
        <f>IF(VariableLengthSubnetMaskCalc.!D23&gt;Y29,0,1)</f>
        <v>0</v>
      </c>
      <c r="Z22" s="82">
        <f>IF(VariableLengthSubnetMaskCalc.!D23&gt;Z29,0,1)</f>
        <v>0</v>
      </c>
      <c r="AA22" s="65">
        <f>IF(VariableLengthSubnetMaskCalc.!D23&gt;AA29,0,1)</f>
        <v>0</v>
      </c>
      <c r="AB22" s="65">
        <f>IF(VariableLengthSubnetMaskCalc.!D23&gt;AB29,0,1)</f>
        <v>0</v>
      </c>
      <c r="AC22" s="65">
        <f>IF(VariableLengthSubnetMaskCalc.!D23&gt;AC29,0,1)</f>
        <v>0</v>
      </c>
      <c r="AD22" s="65">
        <f>IF(VariableLengthSubnetMaskCalc.!D23&gt;AD29,0,1)</f>
        <v>0</v>
      </c>
      <c r="AE22" s="65">
        <f>IF(VariableLengthSubnetMaskCalc.!D23&gt;AE29,0,1)</f>
        <v>0</v>
      </c>
      <c r="AF22" s="65">
        <f>IF(VariableLengthSubnetMaskCalc.!D23&gt;AF29,0,1)</f>
        <v>0</v>
      </c>
      <c r="AG22" s="65">
        <f>IF(VariableLengthSubnetMaskCalc.!D23&gt;AG29,0,1)</f>
        <v>0</v>
      </c>
      <c r="AH22" s="66">
        <f>IF(VariableLengthSubnetMaskCalc.!D23&gt;AH29,0,1)</f>
        <v>0</v>
      </c>
      <c r="AI22" s="55"/>
    </row>
    <row r="23" spans="2:35">
      <c r="B23" s="99"/>
      <c r="C23" s="67">
        <f>IF(C22=1,0,1)</f>
        <v>1</v>
      </c>
      <c r="D23" s="57">
        <f>IF(D22=1,0,1)</f>
        <v>1</v>
      </c>
      <c r="E23" s="57">
        <f>IF(E22=1,0,1)</f>
        <v>1</v>
      </c>
      <c r="F23" s="57">
        <f>IF(F22=1,0,1)</f>
        <v>1</v>
      </c>
      <c r="G23" s="57">
        <f>IF(G22=1,0,1)</f>
        <v>1</v>
      </c>
      <c r="H23" s="57">
        <f>IF(H22=1,0,1)</f>
        <v>1</v>
      </c>
      <c r="I23" s="57">
        <f>IF(I22=1,0,1)</f>
        <v>1</v>
      </c>
      <c r="J23" s="83">
        <f>IF(J22=1,0,1)</f>
        <v>1</v>
      </c>
      <c r="K23" s="91">
        <f>IF(K22=1,0,1)</f>
        <v>1</v>
      </c>
      <c r="L23" s="57">
        <f>IF(L22=1,0,1)</f>
        <v>1</v>
      </c>
      <c r="M23" s="57">
        <f>IF(M22=1,0,1)</f>
        <v>1</v>
      </c>
      <c r="N23" s="57">
        <f>IF(N22=1,0,1)</f>
        <v>1</v>
      </c>
      <c r="O23" s="57">
        <f>IF(O22=1,0,1)</f>
        <v>1</v>
      </c>
      <c r="P23" s="57">
        <f>IF(P22=1,0,1)</f>
        <v>1</v>
      </c>
      <c r="Q23" s="57">
        <f>IF(Q22=1,0,1)</f>
        <v>1</v>
      </c>
      <c r="R23" s="83">
        <f>IF(R22=1,0,1)</f>
        <v>1</v>
      </c>
      <c r="S23" s="91">
        <f>IF(S22=1,0,1)</f>
        <v>1</v>
      </c>
      <c r="T23" s="57">
        <f>IF(T22=1,0,1)</f>
        <v>1</v>
      </c>
      <c r="U23" s="57">
        <f>IF(U22=1,0,1)</f>
        <v>1</v>
      </c>
      <c r="V23" s="57">
        <f>IF(V22=1,0,1)</f>
        <v>1</v>
      </c>
      <c r="W23" s="57">
        <f>IF(W22=1,0,1)</f>
        <v>1</v>
      </c>
      <c r="X23" s="57">
        <f>IF(X22=1,0,1)</f>
        <v>1</v>
      </c>
      <c r="Y23" s="57">
        <f>IF(Y22=1,0,1)</f>
        <v>1</v>
      </c>
      <c r="Z23" s="83">
        <f>IF(Z22=1,0,1)</f>
        <v>1</v>
      </c>
      <c r="AA23" s="57">
        <f>IF(AA22=1,0,1)</f>
        <v>1</v>
      </c>
      <c r="AB23" s="57">
        <f>IF(AB22=1,0,1)</f>
        <v>1</v>
      </c>
      <c r="AC23" s="57">
        <f>IF(AC22=1,0,1)</f>
        <v>1</v>
      </c>
      <c r="AD23" s="57">
        <f>IF(AD22=1,0,1)</f>
        <v>1</v>
      </c>
      <c r="AE23" s="57">
        <f>IF(AE22=1,0,1)</f>
        <v>1</v>
      </c>
      <c r="AF23" s="57">
        <f>IF(AF22=1,0,1)</f>
        <v>1</v>
      </c>
      <c r="AG23" s="57">
        <f>IF(AG22=1,0,1)</f>
        <v>1</v>
      </c>
      <c r="AH23" s="68">
        <f>IF(AH22=1,0,1)</f>
        <v>1</v>
      </c>
      <c r="AI23" s="55"/>
    </row>
    <row r="24" spans="2:35">
      <c r="B24" s="99"/>
      <c r="C24" s="69"/>
      <c r="D24" s="58"/>
      <c r="E24" s="58"/>
      <c r="F24" s="58"/>
      <c r="G24" s="58"/>
      <c r="H24" s="58"/>
      <c r="I24" s="58"/>
      <c r="J24" s="84"/>
      <c r="K24" s="92"/>
      <c r="L24" s="58"/>
      <c r="M24" s="58"/>
      <c r="N24" s="58"/>
      <c r="O24" s="58"/>
      <c r="P24" s="58"/>
      <c r="Q24" s="58"/>
      <c r="R24" s="84"/>
      <c r="S24" s="92"/>
      <c r="T24" s="58"/>
      <c r="U24" s="58"/>
      <c r="V24" s="58"/>
      <c r="W24" s="58"/>
      <c r="X24" s="58"/>
      <c r="Y24" s="58"/>
      <c r="Z24" s="84"/>
      <c r="AA24" s="58"/>
      <c r="AB24" s="58"/>
      <c r="AC24" s="58"/>
      <c r="AD24" s="58"/>
      <c r="AE24" s="58"/>
      <c r="AF24" s="58"/>
      <c r="AG24" s="58"/>
      <c r="AH24" s="70"/>
      <c r="AI24" s="55"/>
    </row>
    <row r="25" spans="2:35">
      <c r="B25" s="99"/>
      <c r="C25" s="71" t="str">
        <f>CONCATENATE(C22,D22,E22,F22,G22,H22,I22,J22)</f>
        <v>00000000</v>
      </c>
      <c r="D25" s="59"/>
      <c r="E25" s="59"/>
      <c r="F25" s="59"/>
      <c r="G25" s="59">
        <f>BIN2DEC(C25)</f>
        <v>0</v>
      </c>
      <c r="H25" s="59"/>
      <c r="I25" s="59"/>
      <c r="J25" s="85"/>
      <c r="K25" s="93" t="str">
        <f>CONCATENATE(K22,L22,M22,N22,O22,P22,Q22,R22)</f>
        <v>00000000</v>
      </c>
      <c r="L25" s="59"/>
      <c r="M25" s="59"/>
      <c r="N25" s="59"/>
      <c r="O25" s="59">
        <f>BIN2DEC(K25)</f>
        <v>0</v>
      </c>
      <c r="P25" s="59"/>
      <c r="Q25" s="59"/>
      <c r="R25" s="85"/>
      <c r="S25" s="93" t="str">
        <f>CONCATENATE(S22,T22,U22,V22,W22,X22,Y22,Z22)</f>
        <v>00000000</v>
      </c>
      <c r="T25" s="59"/>
      <c r="U25" s="59"/>
      <c r="V25" s="59"/>
      <c r="W25" s="59">
        <f>BIN2DEC(S25)</f>
        <v>0</v>
      </c>
      <c r="X25" s="59"/>
      <c r="Y25" s="59"/>
      <c r="Z25" s="85"/>
      <c r="AA25" s="59" t="str">
        <f>CONCATENATE(AA22,AB22,AC22,AD22,AE22,AF22,AG22,AH22)</f>
        <v>00000000</v>
      </c>
      <c r="AB25" s="59"/>
      <c r="AC25" s="59"/>
      <c r="AD25" s="59"/>
      <c r="AE25" s="59">
        <f>BIN2DEC(AA25)</f>
        <v>0</v>
      </c>
      <c r="AF25" s="59"/>
      <c r="AG25" s="59"/>
      <c r="AH25" s="72"/>
      <c r="AI25" s="55"/>
    </row>
    <row r="26" spans="2:35">
      <c r="B26" s="99"/>
      <c r="C26" s="71" t="str">
        <f>CONCATENATE(C23,D23,E23,F23,G23,H23,I23,J23,)</f>
        <v>11111111</v>
      </c>
      <c r="D26" s="59"/>
      <c r="E26" s="59"/>
      <c r="F26" s="59"/>
      <c r="G26" s="59">
        <f>BIN2DEC(C26)</f>
        <v>255</v>
      </c>
      <c r="H26" s="59"/>
      <c r="I26" s="59"/>
      <c r="J26" s="85"/>
      <c r="K26" s="93" t="str">
        <f>CONCATENATE(K23,L23,M23,N23,O23,P23,Q23,R23,)</f>
        <v>11111111</v>
      </c>
      <c r="L26" s="59"/>
      <c r="M26" s="59"/>
      <c r="N26" s="59"/>
      <c r="O26" s="59">
        <f>BIN2DEC(K26)</f>
        <v>255</v>
      </c>
      <c r="P26" s="59"/>
      <c r="Q26" s="59"/>
      <c r="R26" s="85"/>
      <c r="S26" s="93" t="str">
        <f>CONCATENATE(S23,T23,U23,V23,W23,X23,Y23,Z23,)</f>
        <v>11111111</v>
      </c>
      <c r="T26" s="59"/>
      <c r="U26" s="59"/>
      <c r="V26" s="59"/>
      <c r="W26" s="59">
        <f>BIN2DEC(S26)</f>
        <v>255</v>
      </c>
      <c r="X26" s="59"/>
      <c r="Y26" s="59"/>
      <c r="Z26" s="85"/>
      <c r="AA26" s="59" t="str">
        <f>CONCATENATE(AA23,AB23,AC23,AD23,AE23,AF23,AG23,AH23,)</f>
        <v>11111111</v>
      </c>
      <c r="AB26" s="59"/>
      <c r="AC26" s="59"/>
      <c r="AD26" s="59"/>
      <c r="AE26" s="59">
        <f>BIN2DEC(AA26)</f>
        <v>255</v>
      </c>
      <c r="AF26" s="59"/>
      <c r="AG26" s="59"/>
      <c r="AH26" s="72"/>
      <c r="AI26" s="55"/>
    </row>
    <row r="27" spans="2:35">
      <c r="B27" s="99"/>
      <c r="C27" s="73" t="b">
        <f>AND(VariableLengthSubnetMaskCalc.!D22+2&lt;C29,VariableLengthSubnetMaskCalc.!D22+2&gt;D29)</f>
        <v>0</v>
      </c>
      <c r="D27" s="60" t="b">
        <f>AND(VariableLengthSubnetMaskCalc.!D22+2&lt;D29,VariableLengthSubnetMaskCalc.!D22+2&gt;E29)</f>
        <v>0</v>
      </c>
      <c r="E27" s="60" t="b">
        <f>AND(VariableLengthSubnetMaskCalc.!D22+2&lt;E29,VariableLengthSubnetMaskCalc.!D22+2&gt;F29)</f>
        <v>0</v>
      </c>
      <c r="F27" s="60" t="b">
        <f>AND(VariableLengthSubnetMaskCalc.!D22+2&lt;F29,VariableLengthSubnetMaskCalc.!D22+2&gt;G29)</f>
        <v>0</v>
      </c>
      <c r="G27" s="60" t="b">
        <f>AND(VariableLengthSubnetMaskCalc.!D22+2&lt;G29,VariableLengthSubnetMaskCalc.!D22+2&gt;H29)</f>
        <v>0</v>
      </c>
      <c r="H27" s="60" t="b">
        <f>AND(VariableLengthSubnetMaskCalc.!D22+2&lt;H29,VariableLengthSubnetMaskCalc.!D22+2&gt;I29)</f>
        <v>0</v>
      </c>
      <c r="I27" s="60" t="b">
        <f>AND(VariableLengthSubnetMaskCalc.!D22+2&lt;I29,VariableLengthSubnetMaskCalc.!D22+2&gt;J29)</f>
        <v>0</v>
      </c>
      <c r="J27" s="86" t="b">
        <f>AND(VariableLengthSubnetMaskCalc.!D22+2&lt;J29,VariableLengthSubnetMaskCalc.!D22+2&gt;K29)</f>
        <v>0</v>
      </c>
      <c r="K27" s="94" t="b">
        <f>AND(VariableLengthSubnetMaskCalc.!D22+2&lt;K29,VariableLengthSubnetMaskCalc.!D22+2&gt;L29)</f>
        <v>0</v>
      </c>
      <c r="L27" s="60" t="b">
        <f>AND(VariableLengthSubnetMaskCalc.!D22+2&lt;L29,VariableLengthSubnetMaskCalc.!D22+2&gt;M29)</f>
        <v>0</v>
      </c>
      <c r="M27" s="60" t="b">
        <f>AND(VariableLengthSubnetMaskCalc.!D22+2&lt;M29,VariableLengthSubnetMaskCalc.!D22+2&gt;N29)</f>
        <v>0</v>
      </c>
      <c r="N27" s="60" t="b">
        <f>AND(VariableLengthSubnetMaskCalc.!D22+2&lt;N29,VariableLengthSubnetMaskCalc.!D22+2&gt;O29)</f>
        <v>0</v>
      </c>
      <c r="O27" s="60" t="b">
        <f>AND(VariableLengthSubnetMaskCalc.!D22+2&lt;O29,VariableLengthSubnetMaskCalc.!D22+2&gt;P29)</f>
        <v>0</v>
      </c>
      <c r="P27" s="60" t="b">
        <f>AND(VariableLengthSubnetMaskCalc.!D22+2&lt;P29,VariableLengthSubnetMaskCalc.!D22+2&gt;Q29)</f>
        <v>0</v>
      </c>
      <c r="Q27" s="60" t="b">
        <f>AND(VariableLengthSubnetMaskCalc.!D22+2&lt;Q29,VariableLengthSubnetMaskCalc.!D22+2&gt;R29)</f>
        <v>0</v>
      </c>
      <c r="R27" s="86" t="b">
        <f>AND(VariableLengthSubnetMaskCalc.!D22+2&lt;R29,VariableLengthSubnetMaskCalc.!D22+2&gt;S29)</f>
        <v>0</v>
      </c>
      <c r="S27" s="94" t="b">
        <f>AND(VariableLengthSubnetMaskCalc.!D22+2&lt;S29,VariableLengthSubnetMaskCalc.!D22+2&gt;T29)</f>
        <v>0</v>
      </c>
      <c r="T27" s="60" t="b">
        <f>AND(VariableLengthSubnetMaskCalc.!D22+2&lt;T29,VariableLengthSubnetMaskCalc.!D22+2&gt;U29)</f>
        <v>0</v>
      </c>
      <c r="U27" s="60" t="b">
        <f>AND(VariableLengthSubnetMaskCalc.!D22+2&lt;U29,VariableLengthSubnetMaskCalc.!D22+2&gt;V29)</f>
        <v>0</v>
      </c>
      <c r="V27" s="60" t="b">
        <f>AND(VariableLengthSubnetMaskCalc.!D22+2&lt;V29,VariableLengthSubnetMaskCalc.!D22+2&gt;W29)</f>
        <v>0</v>
      </c>
      <c r="W27" s="60" t="b">
        <f>AND(VariableLengthSubnetMaskCalc.!D22+2&lt;W29,VariableLengthSubnetMaskCalc.!D22+2&gt;X29)</f>
        <v>0</v>
      </c>
      <c r="X27" s="60" t="b">
        <f>AND(VariableLengthSubnetMaskCalc.!D22+2&lt;X29,VariableLengthSubnetMaskCalc.!D22+2&gt;Y29)</f>
        <v>0</v>
      </c>
      <c r="Y27" s="60" t="b">
        <f>AND(VariableLengthSubnetMaskCalc.!D22+2&lt;Y29,VariableLengthSubnetMaskCalc.!D22+2&gt;Z29)</f>
        <v>0</v>
      </c>
      <c r="Z27" s="86" t="b">
        <f>AND(VariableLengthSubnetMaskCalc.!D22+2&lt;Z29,VariableLengthSubnetMaskCalc.!D22+2&gt;AA29)</f>
        <v>0</v>
      </c>
      <c r="AA27" s="60" t="b">
        <f>AND(VariableLengthSubnetMaskCalc.!D22+2&lt;AA29,VariableLengthSubnetMaskCalc.!D22+2&gt;AB29)</f>
        <v>0</v>
      </c>
      <c r="AB27" s="60" t="b">
        <f>AND(VariableLengthSubnetMaskCalc.!D22+2&lt;AB29,VariableLengthSubnetMaskCalc.!D22+2&gt;AC29)</f>
        <v>0</v>
      </c>
      <c r="AC27" s="60" t="b">
        <f>AND(VariableLengthSubnetMaskCalc.!D22+2&lt;AC29,VariableLengthSubnetMaskCalc.!D22+2&gt;AD29)</f>
        <v>0</v>
      </c>
      <c r="AD27" s="60" t="b">
        <f>AND(VariableLengthSubnetMaskCalc.!D22+2&lt;AD29,VariableLengthSubnetMaskCalc.!D22+2&gt;AE29)</f>
        <v>0</v>
      </c>
      <c r="AE27" s="60" t="b">
        <f>AND(VariableLengthSubnetMaskCalc.!D22+2&lt;AE29,VariableLengthSubnetMaskCalc.!D22+2&gt;AF29)</f>
        <v>0</v>
      </c>
      <c r="AF27" s="60" t="b">
        <f>AND(VariableLengthSubnetMaskCalc.!D22+2&lt;AF29,VariableLengthSubnetMaskCalc.!D22+2&gt;AG29)</f>
        <v>0</v>
      </c>
      <c r="AG27" s="60" t="b">
        <f>AND(VariableLengthSubnetMaskCalc.!D22+2&lt;AG29,VariableLengthSubnetMaskCalc.!D22+2&gt;AH29)</f>
        <v>0</v>
      </c>
      <c r="AH27" s="74" t="b">
        <f>AND(VariableLengthSubnetMaskCalc.!D22+2&lt;AH29,VariableLengthSubnetMaskCalc.!D22+2&gt;0)</f>
        <v>0</v>
      </c>
      <c r="AI27" s="55"/>
    </row>
    <row r="28" spans="2:35">
      <c r="B28" s="99"/>
      <c r="C28" s="75">
        <f>AA29</f>
        <v>128</v>
      </c>
      <c r="D28" s="61">
        <f>AB29</f>
        <v>64</v>
      </c>
      <c r="E28" s="61">
        <f>AC29</f>
        <v>32</v>
      </c>
      <c r="F28" s="61">
        <f>AD29</f>
        <v>16</v>
      </c>
      <c r="G28" s="61">
        <f>AE29</f>
        <v>8</v>
      </c>
      <c r="H28" s="61">
        <f>AF29</f>
        <v>4</v>
      </c>
      <c r="I28" s="61">
        <f>AG29</f>
        <v>2</v>
      </c>
      <c r="J28" s="87">
        <f>AH29</f>
        <v>1</v>
      </c>
      <c r="K28" s="95">
        <f>AA29</f>
        <v>128</v>
      </c>
      <c r="L28" s="61">
        <f>AB29</f>
        <v>64</v>
      </c>
      <c r="M28" s="61">
        <f>AC29</f>
        <v>32</v>
      </c>
      <c r="N28" s="61">
        <f>AD29</f>
        <v>16</v>
      </c>
      <c r="O28" s="61">
        <f>AE29</f>
        <v>8</v>
      </c>
      <c r="P28" s="61">
        <f>AF29</f>
        <v>4</v>
      </c>
      <c r="Q28" s="61">
        <f>AG29</f>
        <v>2</v>
      </c>
      <c r="R28" s="87">
        <f>AH29</f>
        <v>1</v>
      </c>
      <c r="S28" s="95">
        <f>AA29</f>
        <v>128</v>
      </c>
      <c r="T28" s="61">
        <f>AB29</f>
        <v>64</v>
      </c>
      <c r="U28" s="61">
        <f>AC29</f>
        <v>32</v>
      </c>
      <c r="V28" s="61">
        <f>AD29</f>
        <v>16</v>
      </c>
      <c r="W28" s="61">
        <f>AE29</f>
        <v>8</v>
      </c>
      <c r="X28" s="61">
        <f>AF29</f>
        <v>4</v>
      </c>
      <c r="Y28" s="61">
        <f>AG29</f>
        <v>2</v>
      </c>
      <c r="Z28" s="87">
        <f>AH29</f>
        <v>1</v>
      </c>
      <c r="AA28" s="61">
        <f>AA29</f>
        <v>128</v>
      </c>
      <c r="AB28" s="61">
        <f>AB29</f>
        <v>64</v>
      </c>
      <c r="AC28" s="61">
        <f>AC29</f>
        <v>32</v>
      </c>
      <c r="AD28" s="61">
        <f>AD29</f>
        <v>16</v>
      </c>
      <c r="AE28" s="61">
        <f>AE29</f>
        <v>8</v>
      </c>
      <c r="AF28" s="61">
        <f>AF29</f>
        <v>4</v>
      </c>
      <c r="AG28" s="61">
        <f>AG29</f>
        <v>2</v>
      </c>
      <c r="AH28" s="76">
        <f>AH29</f>
        <v>1</v>
      </c>
      <c r="AI28" s="55"/>
    </row>
    <row r="29" spans="2:35">
      <c r="B29" s="99"/>
      <c r="C29" s="75">
        <f>D29*2</f>
        <v>2147483648</v>
      </c>
      <c r="D29" s="61">
        <f>E29*2</f>
        <v>1073741824</v>
      </c>
      <c r="E29" s="61">
        <f>F29*2</f>
        <v>536870912</v>
      </c>
      <c r="F29" s="61">
        <f>G29*2</f>
        <v>268435456</v>
      </c>
      <c r="G29" s="61">
        <f>H29*2</f>
        <v>134217728</v>
      </c>
      <c r="H29" s="61">
        <f>I29*2</f>
        <v>67108864</v>
      </c>
      <c r="I29" s="61">
        <f>J29*2</f>
        <v>33554432</v>
      </c>
      <c r="J29" s="87">
        <f>K29*2</f>
        <v>16777216</v>
      </c>
      <c r="K29" s="95">
        <f>L29*2</f>
        <v>8388608</v>
      </c>
      <c r="L29" s="61">
        <f>M29*2</f>
        <v>4194304</v>
      </c>
      <c r="M29" s="61">
        <f>N29*2</f>
        <v>2097152</v>
      </c>
      <c r="N29" s="61">
        <f>O29*2</f>
        <v>1048576</v>
      </c>
      <c r="O29" s="61">
        <f>P29*2</f>
        <v>524288</v>
      </c>
      <c r="P29" s="61">
        <f>Q29*2</f>
        <v>262144</v>
      </c>
      <c r="Q29" s="61">
        <f>R29*2</f>
        <v>131072</v>
      </c>
      <c r="R29" s="87">
        <f>S29*2</f>
        <v>65536</v>
      </c>
      <c r="S29" s="95">
        <f>T29*2</f>
        <v>32768</v>
      </c>
      <c r="T29" s="61">
        <f>U29*2</f>
        <v>16384</v>
      </c>
      <c r="U29" s="61">
        <f>V29*2</f>
        <v>8192</v>
      </c>
      <c r="V29" s="61">
        <f>W29*2</f>
        <v>4096</v>
      </c>
      <c r="W29" s="61">
        <f>X29*2</f>
        <v>2048</v>
      </c>
      <c r="X29" s="61">
        <f>Y29*2</f>
        <v>1024</v>
      </c>
      <c r="Y29" s="61">
        <f>Z29*2</f>
        <v>512</v>
      </c>
      <c r="Z29" s="87">
        <f>AA29*2</f>
        <v>256</v>
      </c>
      <c r="AA29" s="61">
        <f>AB29*2</f>
        <v>128</v>
      </c>
      <c r="AB29" s="61">
        <f>AC29*2</f>
        <v>64</v>
      </c>
      <c r="AC29" s="61">
        <f>AD29*2</f>
        <v>32</v>
      </c>
      <c r="AD29" s="61">
        <f>AE29*2</f>
        <v>16</v>
      </c>
      <c r="AE29" s="61">
        <f>AF29*2</f>
        <v>8</v>
      </c>
      <c r="AF29" s="61">
        <f>AG29*2</f>
        <v>4</v>
      </c>
      <c r="AG29" s="61">
        <f>AH29*2</f>
        <v>2</v>
      </c>
      <c r="AH29" s="76">
        <v>1</v>
      </c>
      <c r="AI29" s="55"/>
    </row>
    <row r="30" spans="2:35">
      <c r="B30" s="99"/>
      <c r="C30" s="77">
        <f>C20+1</f>
        <v>3</v>
      </c>
      <c r="D30" s="62"/>
      <c r="E30" s="62"/>
      <c r="F30" s="62"/>
      <c r="G30" s="62" t="str">
        <f>CONCATENATE(C30,"rd")</f>
        <v>3rd</v>
      </c>
      <c r="H30" s="62"/>
      <c r="I30" s="62"/>
      <c r="J30" s="88"/>
      <c r="K30" s="92"/>
      <c r="L30" s="58"/>
      <c r="M30" s="58"/>
      <c r="N30" s="58"/>
      <c r="O30" s="58"/>
      <c r="P30" s="58"/>
      <c r="Q30" s="58"/>
      <c r="R30" s="84"/>
      <c r="S30" s="92"/>
      <c r="T30" s="58"/>
      <c r="U30" s="58"/>
      <c r="V30" s="58"/>
      <c r="W30" s="58"/>
      <c r="X30" s="58"/>
      <c r="Y30" s="58"/>
      <c r="Z30" s="84"/>
      <c r="AA30" s="58"/>
      <c r="AB30" s="58"/>
      <c r="AC30" s="58"/>
      <c r="AD30" s="58"/>
      <c r="AE30" s="58"/>
      <c r="AF30" s="58"/>
      <c r="AG30" s="58"/>
      <c r="AH30" s="70"/>
      <c r="AI30" s="55"/>
    </row>
    <row r="31" spans="2:35" ht="15.75" thickBot="1">
      <c r="B31" s="100"/>
      <c r="C31" s="78" t="str">
        <f>IF(OR(VariableLengthSubnetMaskCalc.!$D$2="",VariableLengthSubnetMaskCalc.!$D$12="",VariableLengthSubnetMaskCalc.!$D$22=""),"",VariableLengthSubnetMaskCalc.!D22)</f>
        <v/>
      </c>
      <c r="D31" s="79"/>
      <c r="E31" s="79"/>
      <c r="F31" s="79"/>
      <c r="G31" s="79"/>
      <c r="H31" s="79"/>
      <c r="I31" s="79"/>
      <c r="J31" s="89"/>
      <c r="K31" s="96"/>
      <c r="L31" s="80"/>
      <c r="M31" s="80"/>
      <c r="N31" s="80"/>
      <c r="O31" s="80"/>
      <c r="P31" s="80"/>
      <c r="Q31" s="80"/>
      <c r="R31" s="97"/>
      <c r="S31" s="96"/>
      <c r="T31" s="80"/>
      <c r="U31" s="80"/>
      <c r="V31" s="80"/>
      <c r="W31" s="80"/>
      <c r="X31" s="80"/>
      <c r="Y31" s="80"/>
      <c r="Z31" s="97"/>
      <c r="AA31" s="80"/>
      <c r="AB31" s="80"/>
      <c r="AC31" s="80"/>
      <c r="AD31" s="80"/>
      <c r="AE31" s="80"/>
      <c r="AF31" s="80"/>
      <c r="AG31" s="80"/>
      <c r="AH31" s="81"/>
      <c r="AI31" s="55"/>
    </row>
    <row r="32" spans="2:35" ht="15" customHeight="1">
      <c r="B32" s="98" t="str">
        <f>VariableLengthSubnetMaskCalc.!B32</f>
        <v>4th
Network</v>
      </c>
      <c r="C32" s="64">
        <f>IF(VariableLengthSubnetMaskCalc.!D33&gt;C39,0,1)</f>
        <v>0</v>
      </c>
      <c r="D32" s="65">
        <f>IF(VariableLengthSubnetMaskCalc.!D33&gt;D39,0,1)</f>
        <v>0</v>
      </c>
      <c r="E32" s="65">
        <f>IF(VariableLengthSubnetMaskCalc.!D33&gt;E39,0,1)</f>
        <v>0</v>
      </c>
      <c r="F32" s="65">
        <f>IF(VariableLengthSubnetMaskCalc.!D33&gt;F39,0,1)</f>
        <v>0</v>
      </c>
      <c r="G32" s="65">
        <f>IF(VariableLengthSubnetMaskCalc.!D33&gt;G39,0,1)</f>
        <v>0</v>
      </c>
      <c r="H32" s="65">
        <f>IF(VariableLengthSubnetMaskCalc.!D33&gt;H39,0,1)</f>
        <v>0</v>
      </c>
      <c r="I32" s="65">
        <f>IF(VariableLengthSubnetMaskCalc.!D33&gt;I39,0,1)</f>
        <v>0</v>
      </c>
      <c r="J32" s="82">
        <f>IF(VariableLengthSubnetMaskCalc.!D33&gt;J39,0,1)</f>
        <v>0</v>
      </c>
      <c r="K32" s="90">
        <f>IF(VariableLengthSubnetMaskCalc.!D33&gt;K39,0,1)</f>
        <v>0</v>
      </c>
      <c r="L32" s="65">
        <f>IF(VariableLengthSubnetMaskCalc.!D33&gt;L39,0,1)</f>
        <v>0</v>
      </c>
      <c r="M32" s="65">
        <f>IF(VariableLengthSubnetMaskCalc.!D33&gt;M39,0,1)</f>
        <v>0</v>
      </c>
      <c r="N32" s="65">
        <f>IF(VariableLengthSubnetMaskCalc.!D33&gt;N39,0,1)</f>
        <v>0</v>
      </c>
      <c r="O32" s="65">
        <f>IF(VariableLengthSubnetMaskCalc.!D33&gt;O39,0,1)</f>
        <v>0</v>
      </c>
      <c r="P32" s="65">
        <f>IF(VariableLengthSubnetMaskCalc.!D33&gt;P39,0,1)</f>
        <v>0</v>
      </c>
      <c r="Q32" s="65">
        <f>IF(VariableLengthSubnetMaskCalc.!D33&gt;Q39,0,1)</f>
        <v>0</v>
      </c>
      <c r="R32" s="82">
        <f>IF(VariableLengthSubnetMaskCalc.!D33&gt;R39,0,1)</f>
        <v>0</v>
      </c>
      <c r="S32" s="90">
        <f>IF(VariableLengthSubnetMaskCalc.!D33&gt;S39,0,1)</f>
        <v>0</v>
      </c>
      <c r="T32" s="65">
        <f>IF(VariableLengthSubnetMaskCalc.!D33&gt;T39,0,1)</f>
        <v>0</v>
      </c>
      <c r="U32" s="65">
        <f>IF(VariableLengthSubnetMaskCalc.!D33&gt;U39,0,1)</f>
        <v>0</v>
      </c>
      <c r="V32" s="65">
        <f>IF(VariableLengthSubnetMaskCalc.!D33&gt;V39,0,1)</f>
        <v>0</v>
      </c>
      <c r="W32" s="65">
        <f>IF(VariableLengthSubnetMaskCalc.!D33&gt;W39,0,1)</f>
        <v>0</v>
      </c>
      <c r="X32" s="65">
        <f>IF(VariableLengthSubnetMaskCalc.!D33&gt;X39,0,1)</f>
        <v>0</v>
      </c>
      <c r="Y32" s="65">
        <f>IF(VariableLengthSubnetMaskCalc.!D33&gt;Y39,0,1)</f>
        <v>0</v>
      </c>
      <c r="Z32" s="82">
        <f>IF(VariableLengthSubnetMaskCalc.!D33&gt;Z39,0,1)</f>
        <v>0</v>
      </c>
      <c r="AA32" s="65">
        <f>IF(VariableLengthSubnetMaskCalc.!D33&gt;AA39,0,1)</f>
        <v>0</v>
      </c>
      <c r="AB32" s="65">
        <f>IF(VariableLengthSubnetMaskCalc.!D33&gt;AB39,0,1)</f>
        <v>0</v>
      </c>
      <c r="AC32" s="65">
        <f>IF(VariableLengthSubnetMaskCalc.!D33&gt;AC39,0,1)</f>
        <v>0</v>
      </c>
      <c r="AD32" s="65">
        <f>IF(VariableLengthSubnetMaskCalc.!D33&gt;AD39,0,1)</f>
        <v>0</v>
      </c>
      <c r="AE32" s="65">
        <f>IF(VariableLengthSubnetMaskCalc.!D33&gt;AE39,0,1)</f>
        <v>0</v>
      </c>
      <c r="AF32" s="65">
        <f>IF(VariableLengthSubnetMaskCalc.!D33&gt;AF39,0,1)</f>
        <v>0</v>
      </c>
      <c r="AG32" s="65">
        <f>IF(VariableLengthSubnetMaskCalc.!D33&gt;AG39,0,1)</f>
        <v>0</v>
      </c>
      <c r="AH32" s="66">
        <f>IF(VariableLengthSubnetMaskCalc.!D33&gt;AH39,0,1)</f>
        <v>0</v>
      </c>
      <c r="AI32" s="55"/>
    </row>
    <row r="33" spans="2:35">
      <c r="B33" s="99"/>
      <c r="C33" s="67">
        <f>IF(C32=1,0,1)</f>
        <v>1</v>
      </c>
      <c r="D33" s="57">
        <f>IF(D32=1,0,1)</f>
        <v>1</v>
      </c>
      <c r="E33" s="57">
        <f>IF(E32=1,0,1)</f>
        <v>1</v>
      </c>
      <c r="F33" s="57">
        <f>IF(F32=1,0,1)</f>
        <v>1</v>
      </c>
      <c r="G33" s="57">
        <f>IF(G32=1,0,1)</f>
        <v>1</v>
      </c>
      <c r="H33" s="57">
        <f>IF(H32=1,0,1)</f>
        <v>1</v>
      </c>
      <c r="I33" s="57">
        <f>IF(I32=1,0,1)</f>
        <v>1</v>
      </c>
      <c r="J33" s="83">
        <f>IF(J32=1,0,1)</f>
        <v>1</v>
      </c>
      <c r="K33" s="91">
        <f>IF(K32=1,0,1)</f>
        <v>1</v>
      </c>
      <c r="L33" s="57">
        <f>IF(L32=1,0,1)</f>
        <v>1</v>
      </c>
      <c r="M33" s="57">
        <f>IF(M32=1,0,1)</f>
        <v>1</v>
      </c>
      <c r="N33" s="57">
        <f>IF(N32=1,0,1)</f>
        <v>1</v>
      </c>
      <c r="O33" s="57">
        <f>IF(O32=1,0,1)</f>
        <v>1</v>
      </c>
      <c r="P33" s="57">
        <f>IF(P32=1,0,1)</f>
        <v>1</v>
      </c>
      <c r="Q33" s="57">
        <f>IF(Q32=1,0,1)</f>
        <v>1</v>
      </c>
      <c r="R33" s="83">
        <f>IF(R32=1,0,1)</f>
        <v>1</v>
      </c>
      <c r="S33" s="91">
        <f>IF(S32=1,0,1)</f>
        <v>1</v>
      </c>
      <c r="T33" s="57">
        <f>IF(T32=1,0,1)</f>
        <v>1</v>
      </c>
      <c r="U33" s="57">
        <f>IF(U32=1,0,1)</f>
        <v>1</v>
      </c>
      <c r="V33" s="57">
        <f>IF(V32=1,0,1)</f>
        <v>1</v>
      </c>
      <c r="W33" s="57">
        <f>IF(W32=1,0,1)</f>
        <v>1</v>
      </c>
      <c r="X33" s="57">
        <f>IF(X32=1,0,1)</f>
        <v>1</v>
      </c>
      <c r="Y33" s="57">
        <f>IF(Y32=1,0,1)</f>
        <v>1</v>
      </c>
      <c r="Z33" s="83">
        <f>IF(Z32=1,0,1)</f>
        <v>1</v>
      </c>
      <c r="AA33" s="57">
        <f>IF(AA32=1,0,1)</f>
        <v>1</v>
      </c>
      <c r="AB33" s="57">
        <f>IF(AB32=1,0,1)</f>
        <v>1</v>
      </c>
      <c r="AC33" s="57">
        <f>IF(AC32=1,0,1)</f>
        <v>1</v>
      </c>
      <c r="AD33" s="57">
        <f>IF(AD32=1,0,1)</f>
        <v>1</v>
      </c>
      <c r="AE33" s="57">
        <f>IF(AE32=1,0,1)</f>
        <v>1</v>
      </c>
      <c r="AF33" s="57">
        <f>IF(AF32=1,0,1)</f>
        <v>1</v>
      </c>
      <c r="AG33" s="57">
        <f>IF(AG32=1,0,1)</f>
        <v>1</v>
      </c>
      <c r="AH33" s="68">
        <f>IF(AH32=1,0,1)</f>
        <v>1</v>
      </c>
      <c r="AI33" s="55"/>
    </row>
    <row r="34" spans="2:35">
      <c r="B34" s="99"/>
      <c r="C34" s="69"/>
      <c r="D34" s="58"/>
      <c r="E34" s="58"/>
      <c r="F34" s="58"/>
      <c r="G34" s="58"/>
      <c r="H34" s="58"/>
      <c r="I34" s="58"/>
      <c r="J34" s="84"/>
      <c r="K34" s="92"/>
      <c r="L34" s="58"/>
      <c r="M34" s="58"/>
      <c r="N34" s="58"/>
      <c r="O34" s="58"/>
      <c r="P34" s="58"/>
      <c r="Q34" s="58"/>
      <c r="R34" s="84"/>
      <c r="S34" s="92"/>
      <c r="T34" s="58"/>
      <c r="U34" s="58"/>
      <c r="V34" s="58"/>
      <c r="W34" s="58"/>
      <c r="X34" s="58"/>
      <c r="Y34" s="58"/>
      <c r="Z34" s="84"/>
      <c r="AA34" s="58"/>
      <c r="AB34" s="58"/>
      <c r="AC34" s="58"/>
      <c r="AD34" s="58"/>
      <c r="AE34" s="58"/>
      <c r="AF34" s="58"/>
      <c r="AG34" s="58"/>
      <c r="AH34" s="70"/>
      <c r="AI34" s="55"/>
    </row>
    <row r="35" spans="2:35">
      <c r="B35" s="99"/>
      <c r="C35" s="71" t="str">
        <f>CONCATENATE(C32,D32,E32,F32,G32,H32,I32,J32)</f>
        <v>00000000</v>
      </c>
      <c r="D35" s="59"/>
      <c r="E35" s="59"/>
      <c r="F35" s="59"/>
      <c r="G35" s="59">
        <f>BIN2DEC(C35)</f>
        <v>0</v>
      </c>
      <c r="H35" s="59"/>
      <c r="I35" s="59"/>
      <c r="J35" s="85"/>
      <c r="K35" s="93" t="str">
        <f>CONCATENATE(K32,L32,M32,N32,O32,P32,Q32,R32)</f>
        <v>00000000</v>
      </c>
      <c r="L35" s="59"/>
      <c r="M35" s="59"/>
      <c r="N35" s="59"/>
      <c r="O35" s="59">
        <f>BIN2DEC(K35)</f>
        <v>0</v>
      </c>
      <c r="P35" s="59"/>
      <c r="Q35" s="59"/>
      <c r="R35" s="85"/>
      <c r="S35" s="93" t="str">
        <f>CONCATENATE(S32,T32,U32,V32,W32,X32,Y32,Z32)</f>
        <v>00000000</v>
      </c>
      <c r="T35" s="59"/>
      <c r="U35" s="59"/>
      <c r="V35" s="59"/>
      <c r="W35" s="59">
        <f>BIN2DEC(S35)</f>
        <v>0</v>
      </c>
      <c r="X35" s="59"/>
      <c r="Y35" s="59"/>
      <c r="Z35" s="85"/>
      <c r="AA35" s="59" t="str">
        <f>CONCATENATE(AA32,AB32,AC32,AD32,AE32,AF32,AG32,AH32)</f>
        <v>00000000</v>
      </c>
      <c r="AB35" s="59"/>
      <c r="AC35" s="59"/>
      <c r="AD35" s="59"/>
      <c r="AE35" s="59">
        <f>BIN2DEC(AA35)</f>
        <v>0</v>
      </c>
      <c r="AF35" s="59"/>
      <c r="AG35" s="59"/>
      <c r="AH35" s="72"/>
      <c r="AI35" s="55"/>
    </row>
    <row r="36" spans="2:35">
      <c r="B36" s="99"/>
      <c r="C36" s="71" t="str">
        <f>CONCATENATE(C33,D33,E33,F33,G33,H33,I33,J33,)</f>
        <v>11111111</v>
      </c>
      <c r="D36" s="59"/>
      <c r="E36" s="59"/>
      <c r="F36" s="59"/>
      <c r="G36" s="59">
        <f>BIN2DEC(C36)</f>
        <v>255</v>
      </c>
      <c r="H36" s="59"/>
      <c r="I36" s="59"/>
      <c r="J36" s="85"/>
      <c r="K36" s="93" t="str">
        <f>CONCATENATE(K33,L33,M33,N33,O33,P33,Q33,R33,)</f>
        <v>11111111</v>
      </c>
      <c r="L36" s="59"/>
      <c r="M36" s="59"/>
      <c r="N36" s="59"/>
      <c r="O36" s="59">
        <f>BIN2DEC(K36)</f>
        <v>255</v>
      </c>
      <c r="P36" s="59"/>
      <c r="Q36" s="59"/>
      <c r="R36" s="85"/>
      <c r="S36" s="93" t="str">
        <f>CONCATENATE(S33,T33,U33,V33,W33,X33,Y33,Z33,)</f>
        <v>11111111</v>
      </c>
      <c r="T36" s="59"/>
      <c r="U36" s="59"/>
      <c r="V36" s="59"/>
      <c r="W36" s="59">
        <f>BIN2DEC(S36)</f>
        <v>255</v>
      </c>
      <c r="X36" s="59"/>
      <c r="Y36" s="59"/>
      <c r="Z36" s="85"/>
      <c r="AA36" s="59" t="str">
        <f>CONCATENATE(AA33,AB33,AC33,AD33,AE33,AF33,AG33,AH33,)</f>
        <v>11111111</v>
      </c>
      <c r="AB36" s="59"/>
      <c r="AC36" s="59"/>
      <c r="AD36" s="59"/>
      <c r="AE36" s="59">
        <f>BIN2DEC(AA36)</f>
        <v>255</v>
      </c>
      <c r="AF36" s="59"/>
      <c r="AG36" s="59"/>
      <c r="AH36" s="72"/>
      <c r="AI36" s="55"/>
    </row>
    <row r="37" spans="2:35">
      <c r="B37" s="99"/>
      <c r="C37" s="73" t="b">
        <f>AND(VariableLengthSubnetMaskCalc.!D32+2&lt;C39,VariableLengthSubnetMaskCalc.!D32+2&gt;D39)</f>
        <v>0</v>
      </c>
      <c r="D37" s="60" t="b">
        <f>AND(VariableLengthSubnetMaskCalc.!D32+2&lt;D39,VariableLengthSubnetMaskCalc.!D32+2&gt;E39)</f>
        <v>0</v>
      </c>
      <c r="E37" s="60" t="b">
        <f>AND(VariableLengthSubnetMaskCalc.!D32+2&lt;E39,VariableLengthSubnetMaskCalc.!D32+2&gt;F39)</f>
        <v>0</v>
      </c>
      <c r="F37" s="60" t="b">
        <f>AND(VariableLengthSubnetMaskCalc.!D32+2&lt;F39,VariableLengthSubnetMaskCalc.!D32+2&gt;G39)</f>
        <v>0</v>
      </c>
      <c r="G37" s="60" t="b">
        <f>AND(VariableLengthSubnetMaskCalc.!D32+2&lt;G39,VariableLengthSubnetMaskCalc.!D32+2&gt;H39)</f>
        <v>0</v>
      </c>
      <c r="H37" s="60" t="b">
        <f>AND(VariableLengthSubnetMaskCalc.!D32+2&lt;H39,VariableLengthSubnetMaskCalc.!D32+2&gt;I39)</f>
        <v>0</v>
      </c>
      <c r="I37" s="60" t="b">
        <f>AND(VariableLengthSubnetMaskCalc.!D32+2&lt;I39,VariableLengthSubnetMaskCalc.!D32+2&gt;J39)</f>
        <v>0</v>
      </c>
      <c r="J37" s="86" t="b">
        <f>AND(VariableLengthSubnetMaskCalc.!D32+2&lt;J39,VariableLengthSubnetMaskCalc.!D32+2&gt;K39)</f>
        <v>0</v>
      </c>
      <c r="K37" s="94" t="b">
        <f>AND(VariableLengthSubnetMaskCalc.!D32+2&lt;K39,VariableLengthSubnetMaskCalc.!D32+2&gt;L39)</f>
        <v>0</v>
      </c>
      <c r="L37" s="60" t="b">
        <f>AND(VariableLengthSubnetMaskCalc.!D32+2&lt;L39,VariableLengthSubnetMaskCalc.!D32+2&gt;M39)</f>
        <v>0</v>
      </c>
      <c r="M37" s="60" t="b">
        <f>AND(VariableLengthSubnetMaskCalc.!D32+2&lt;M39,VariableLengthSubnetMaskCalc.!D32+2&gt;N39)</f>
        <v>0</v>
      </c>
      <c r="N37" s="60" t="b">
        <f>AND(VariableLengthSubnetMaskCalc.!D32+2&lt;N39,VariableLengthSubnetMaskCalc.!D32+2&gt;O39)</f>
        <v>0</v>
      </c>
      <c r="O37" s="60" t="b">
        <f>AND(VariableLengthSubnetMaskCalc.!D32+2&lt;O39,VariableLengthSubnetMaskCalc.!D32+2&gt;P39)</f>
        <v>0</v>
      </c>
      <c r="P37" s="60" t="b">
        <f>AND(VariableLengthSubnetMaskCalc.!D32+2&lt;P39,VariableLengthSubnetMaskCalc.!D32+2&gt;Q39)</f>
        <v>0</v>
      </c>
      <c r="Q37" s="60" t="b">
        <f>AND(VariableLengthSubnetMaskCalc.!D32+2&lt;Q39,VariableLengthSubnetMaskCalc.!D32+2&gt;R39)</f>
        <v>0</v>
      </c>
      <c r="R37" s="86" t="b">
        <f>AND(VariableLengthSubnetMaskCalc.!D32+2&lt;R39,VariableLengthSubnetMaskCalc.!D32+2&gt;S39)</f>
        <v>0</v>
      </c>
      <c r="S37" s="94" t="b">
        <f>AND(VariableLengthSubnetMaskCalc.!D32+2&lt;S39,VariableLengthSubnetMaskCalc.!D32+2&gt;T39)</f>
        <v>0</v>
      </c>
      <c r="T37" s="60" t="b">
        <f>AND(VariableLengthSubnetMaskCalc.!D32+2&lt;T39,VariableLengthSubnetMaskCalc.!D32+2&gt;U39)</f>
        <v>0</v>
      </c>
      <c r="U37" s="60" t="b">
        <f>AND(VariableLengthSubnetMaskCalc.!D32+2&lt;U39,VariableLengthSubnetMaskCalc.!D32+2&gt;V39)</f>
        <v>0</v>
      </c>
      <c r="V37" s="60" t="b">
        <f>AND(VariableLengthSubnetMaskCalc.!D32+2&lt;V39,VariableLengthSubnetMaskCalc.!D32+2&gt;W39)</f>
        <v>0</v>
      </c>
      <c r="W37" s="60" t="b">
        <f>AND(VariableLengthSubnetMaskCalc.!D32+2&lt;W39,VariableLengthSubnetMaskCalc.!D32+2&gt;X39)</f>
        <v>0</v>
      </c>
      <c r="X37" s="60" t="b">
        <f>AND(VariableLengthSubnetMaskCalc.!D32+2&lt;X39,VariableLengthSubnetMaskCalc.!D32+2&gt;Y39)</f>
        <v>0</v>
      </c>
      <c r="Y37" s="60" t="b">
        <f>AND(VariableLengthSubnetMaskCalc.!D32+2&lt;Y39,VariableLengthSubnetMaskCalc.!D32+2&gt;Z39)</f>
        <v>0</v>
      </c>
      <c r="Z37" s="86" t="b">
        <f>AND(VariableLengthSubnetMaskCalc.!D32+2&lt;Z39,VariableLengthSubnetMaskCalc.!D32+2&gt;AA39)</f>
        <v>0</v>
      </c>
      <c r="AA37" s="60" t="b">
        <f>AND(VariableLengthSubnetMaskCalc.!D32+2&lt;AA39,VariableLengthSubnetMaskCalc.!D32+2&gt;AB39)</f>
        <v>0</v>
      </c>
      <c r="AB37" s="60" t="b">
        <f>AND(VariableLengthSubnetMaskCalc.!D32+2&lt;AB39,VariableLengthSubnetMaskCalc.!D32+2&gt;AC39)</f>
        <v>0</v>
      </c>
      <c r="AC37" s="60" t="b">
        <f>AND(VariableLengthSubnetMaskCalc.!D32+2&lt;AC39,VariableLengthSubnetMaskCalc.!D32+2&gt;AD39)</f>
        <v>0</v>
      </c>
      <c r="AD37" s="60" t="b">
        <f>AND(VariableLengthSubnetMaskCalc.!D32+2&lt;AD39,VariableLengthSubnetMaskCalc.!D32+2&gt;AE39)</f>
        <v>0</v>
      </c>
      <c r="AE37" s="60" t="b">
        <f>AND(VariableLengthSubnetMaskCalc.!D32+2&lt;AE39,VariableLengthSubnetMaskCalc.!D32+2&gt;AF39)</f>
        <v>0</v>
      </c>
      <c r="AF37" s="60" t="b">
        <f>AND(VariableLengthSubnetMaskCalc.!D32+2&lt;AF39,VariableLengthSubnetMaskCalc.!D32+2&gt;AG39)</f>
        <v>0</v>
      </c>
      <c r="AG37" s="60" t="b">
        <f>AND(VariableLengthSubnetMaskCalc.!D32+2&lt;AG39,VariableLengthSubnetMaskCalc.!D32+2&gt;AH39)</f>
        <v>0</v>
      </c>
      <c r="AH37" s="74" t="b">
        <f>AND(VariableLengthSubnetMaskCalc.!D32+2&lt;AH39,VariableLengthSubnetMaskCalc.!D32+2&gt;0)</f>
        <v>0</v>
      </c>
      <c r="AI37" s="55"/>
    </row>
    <row r="38" spans="2:35">
      <c r="B38" s="99"/>
      <c r="C38" s="75">
        <f>AA39</f>
        <v>128</v>
      </c>
      <c r="D38" s="61">
        <f>AB39</f>
        <v>64</v>
      </c>
      <c r="E38" s="61">
        <f>AC39</f>
        <v>32</v>
      </c>
      <c r="F38" s="61">
        <f>AD39</f>
        <v>16</v>
      </c>
      <c r="G38" s="61">
        <f>AE39</f>
        <v>8</v>
      </c>
      <c r="H38" s="61">
        <f>AF39</f>
        <v>4</v>
      </c>
      <c r="I38" s="61">
        <f>AG39</f>
        <v>2</v>
      </c>
      <c r="J38" s="87">
        <f>AH39</f>
        <v>1</v>
      </c>
      <c r="K38" s="95">
        <f>AA39</f>
        <v>128</v>
      </c>
      <c r="L38" s="61">
        <f>AB39</f>
        <v>64</v>
      </c>
      <c r="M38" s="61">
        <f>AC39</f>
        <v>32</v>
      </c>
      <c r="N38" s="61">
        <f>AD39</f>
        <v>16</v>
      </c>
      <c r="O38" s="61">
        <f>AE39</f>
        <v>8</v>
      </c>
      <c r="P38" s="61">
        <f>AF39</f>
        <v>4</v>
      </c>
      <c r="Q38" s="61">
        <f>AG39</f>
        <v>2</v>
      </c>
      <c r="R38" s="87">
        <f>AH39</f>
        <v>1</v>
      </c>
      <c r="S38" s="95">
        <f>AA39</f>
        <v>128</v>
      </c>
      <c r="T38" s="61">
        <f>AB39</f>
        <v>64</v>
      </c>
      <c r="U38" s="61">
        <f>AC39</f>
        <v>32</v>
      </c>
      <c r="V38" s="61">
        <f>AD39</f>
        <v>16</v>
      </c>
      <c r="W38" s="61">
        <f>AE39</f>
        <v>8</v>
      </c>
      <c r="X38" s="61">
        <f>AF39</f>
        <v>4</v>
      </c>
      <c r="Y38" s="61">
        <f>AG39</f>
        <v>2</v>
      </c>
      <c r="Z38" s="87">
        <f>AH39</f>
        <v>1</v>
      </c>
      <c r="AA38" s="61">
        <f>AA39</f>
        <v>128</v>
      </c>
      <c r="AB38" s="61">
        <f>AB39</f>
        <v>64</v>
      </c>
      <c r="AC38" s="61">
        <f>AC39</f>
        <v>32</v>
      </c>
      <c r="AD38" s="61">
        <f>AD39</f>
        <v>16</v>
      </c>
      <c r="AE38" s="61">
        <f>AE39</f>
        <v>8</v>
      </c>
      <c r="AF38" s="61">
        <f>AF39</f>
        <v>4</v>
      </c>
      <c r="AG38" s="61">
        <f>AG39</f>
        <v>2</v>
      </c>
      <c r="AH38" s="76">
        <f>AH39</f>
        <v>1</v>
      </c>
      <c r="AI38" s="55"/>
    </row>
    <row r="39" spans="2:35">
      <c r="B39" s="99"/>
      <c r="C39" s="75">
        <f>D39*2</f>
        <v>2147483648</v>
      </c>
      <c r="D39" s="61">
        <f>E39*2</f>
        <v>1073741824</v>
      </c>
      <c r="E39" s="61">
        <f>F39*2</f>
        <v>536870912</v>
      </c>
      <c r="F39" s="61">
        <f>G39*2</f>
        <v>268435456</v>
      </c>
      <c r="G39" s="61">
        <f>H39*2</f>
        <v>134217728</v>
      </c>
      <c r="H39" s="61">
        <f>I39*2</f>
        <v>67108864</v>
      </c>
      <c r="I39" s="61">
        <f>J39*2</f>
        <v>33554432</v>
      </c>
      <c r="J39" s="87">
        <f>K39*2</f>
        <v>16777216</v>
      </c>
      <c r="K39" s="95">
        <f>L39*2</f>
        <v>8388608</v>
      </c>
      <c r="L39" s="61">
        <f>M39*2</f>
        <v>4194304</v>
      </c>
      <c r="M39" s="61">
        <f>N39*2</f>
        <v>2097152</v>
      </c>
      <c r="N39" s="61">
        <f>O39*2</f>
        <v>1048576</v>
      </c>
      <c r="O39" s="61">
        <f>P39*2</f>
        <v>524288</v>
      </c>
      <c r="P39" s="61">
        <f>Q39*2</f>
        <v>262144</v>
      </c>
      <c r="Q39" s="61">
        <f>R39*2</f>
        <v>131072</v>
      </c>
      <c r="R39" s="87">
        <f>S39*2</f>
        <v>65536</v>
      </c>
      <c r="S39" s="95">
        <f>T39*2</f>
        <v>32768</v>
      </c>
      <c r="T39" s="61">
        <f>U39*2</f>
        <v>16384</v>
      </c>
      <c r="U39" s="61">
        <f>V39*2</f>
        <v>8192</v>
      </c>
      <c r="V39" s="61">
        <f>W39*2</f>
        <v>4096</v>
      </c>
      <c r="W39" s="61">
        <f>X39*2</f>
        <v>2048</v>
      </c>
      <c r="X39" s="61">
        <f>Y39*2</f>
        <v>1024</v>
      </c>
      <c r="Y39" s="61">
        <f>Z39*2</f>
        <v>512</v>
      </c>
      <c r="Z39" s="87">
        <f>AA39*2</f>
        <v>256</v>
      </c>
      <c r="AA39" s="61">
        <f>AB39*2</f>
        <v>128</v>
      </c>
      <c r="AB39" s="61">
        <f>AC39*2</f>
        <v>64</v>
      </c>
      <c r="AC39" s="61">
        <f>AD39*2</f>
        <v>32</v>
      </c>
      <c r="AD39" s="61">
        <f>AE39*2</f>
        <v>16</v>
      </c>
      <c r="AE39" s="61">
        <f>AF39*2</f>
        <v>8</v>
      </c>
      <c r="AF39" s="61">
        <f>AG39*2</f>
        <v>4</v>
      </c>
      <c r="AG39" s="61">
        <f>AH39*2</f>
        <v>2</v>
      </c>
      <c r="AH39" s="76">
        <v>1</v>
      </c>
      <c r="AI39" s="55"/>
    </row>
    <row r="40" spans="2:35">
      <c r="B40" s="99"/>
      <c r="C40" s="77">
        <f>C30+1</f>
        <v>4</v>
      </c>
      <c r="D40" s="62"/>
      <c r="E40" s="62"/>
      <c r="F40" s="62"/>
      <c r="G40" s="62" t="str">
        <f>CONCATENATE(C40,"th")</f>
        <v>4th</v>
      </c>
      <c r="H40" s="62"/>
      <c r="I40" s="62"/>
      <c r="J40" s="88"/>
      <c r="K40" s="92"/>
      <c r="L40" s="58"/>
      <c r="M40" s="58"/>
      <c r="N40" s="58"/>
      <c r="O40" s="58"/>
      <c r="P40" s="58"/>
      <c r="Q40" s="58"/>
      <c r="R40" s="84"/>
      <c r="S40" s="92"/>
      <c r="T40" s="58"/>
      <c r="U40" s="58"/>
      <c r="V40" s="58"/>
      <c r="W40" s="58"/>
      <c r="X40" s="58"/>
      <c r="Y40" s="58"/>
      <c r="Z40" s="84"/>
      <c r="AA40" s="58"/>
      <c r="AB40" s="58"/>
      <c r="AC40" s="58"/>
      <c r="AD40" s="58"/>
      <c r="AE40" s="58"/>
      <c r="AF40" s="58"/>
      <c r="AG40" s="58"/>
      <c r="AH40" s="70"/>
      <c r="AI40" s="55"/>
    </row>
    <row r="41" spans="2:35" ht="15.75" thickBot="1">
      <c r="B41" s="100"/>
      <c r="C41" s="78" t="str">
        <f>IF(OR(VariableLengthSubnetMaskCalc.!$D$2="",VariableLengthSubnetMaskCalc.!$D$12="",VariableLengthSubnetMaskCalc.!$D$22="",VariableLengthSubnetMaskCalc.!$D$32=""),"",VariableLengthSubnetMaskCalc.!D32)</f>
        <v/>
      </c>
      <c r="D41" s="79"/>
      <c r="E41" s="79"/>
      <c r="F41" s="79"/>
      <c r="G41" s="79"/>
      <c r="H41" s="79"/>
      <c r="I41" s="79"/>
      <c r="J41" s="89"/>
      <c r="K41" s="96"/>
      <c r="L41" s="80"/>
      <c r="M41" s="80"/>
      <c r="N41" s="80"/>
      <c r="O41" s="80"/>
      <c r="P41" s="80"/>
      <c r="Q41" s="80"/>
      <c r="R41" s="97"/>
      <c r="S41" s="96"/>
      <c r="T41" s="80"/>
      <c r="U41" s="80"/>
      <c r="V41" s="80"/>
      <c r="W41" s="80"/>
      <c r="X41" s="80"/>
      <c r="Y41" s="80"/>
      <c r="Z41" s="97"/>
      <c r="AA41" s="80"/>
      <c r="AB41" s="80"/>
      <c r="AC41" s="80"/>
      <c r="AD41" s="80"/>
      <c r="AE41" s="80"/>
      <c r="AF41" s="80"/>
      <c r="AG41" s="80"/>
      <c r="AH41" s="81"/>
      <c r="AI41" s="55"/>
    </row>
    <row r="42" spans="2:35" ht="15" customHeight="1">
      <c r="B42" s="98" t="str">
        <f>VariableLengthSubnetMaskCalc.!B42</f>
        <v>5th
Network</v>
      </c>
      <c r="C42" s="64">
        <f>IF(VariableLengthSubnetMaskCalc.!D43&gt;C49,0,1)</f>
        <v>0</v>
      </c>
      <c r="D42" s="65">
        <f>IF(VariableLengthSubnetMaskCalc.!D43&gt;D49,0,1)</f>
        <v>0</v>
      </c>
      <c r="E42" s="65">
        <f>IF(VariableLengthSubnetMaskCalc.!D43&gt;E49,0,1)</f>
        <v>0</v>
      </c>
      <c r="F42" s="65">
        <f>IF(VariableLengthSubnetMaskCalc.!D43&gt;F49,0,1)</f>
        <v>0</v>
      </c>
      <c r="G42" s="65">
        <f>IF(VariableLengthSubnetMaskCalc.!D43&gt;G49,0,1)</f>
        <v>0</v>
      </c>
      <c r="H42" s="65">
        <f>IF(VariableLengthSubnetMaskCalc.!D43&gt;H49,0,1)</f>
        <v>0</v>
      </c>
      <c r="I42" s="65">
        <f>IF(VariableLengthSubnetMaskCalc.!D43&gt;I49,0,1)</f>
        <v>0</v>
      </c>
      <c r="J42" s="82">
        <f>IF(VariableLengthSubnetMaskCalc.!D43&gt;J49,0,1)</f>
        <v>0</v>
      </c>
      <c r="K42" s="90">
        <f>IF(VariableLengthSubnetMaskCalc.!D43&gt;K49,0,1)</f>
        <v>0</v>
      </c>
      <c r="L42" s="65">
        <f>IF(VariableLengthSubnetMaskCalc.!D43&gt;L49,0,1)</f>
        <v>0</v>
      </c>
      <c r="M42" s="65">
        <f>IF(VariableLengthSubnetMaskCalc.!D43&gt;M49,0,1)</f>
        <v>0</v>
      </c>
      <c r="N42" s="65">
        <f>IF(VariableLengthSubnetMaskCalc.!D43&gt;N49,0,1)</f>
        <v>0</v>
      </c>
      <c r="O42" s="65">
        <f>IF(VariableLengthSubnetMaskCalc.!D43&gt;O49,0,1)</f>
        <v>0</v>
      </c>
      <c r="P42" s="65">
        <f>IF(VariableLengthSubnetMaskCalc.!D43&gt;P49,0,1)</f>
        <v>0</v>
      </c>
      <c r="Q42" s="65">
        <f>IF(VariableLengthSubnetMaskCalc.!D43&gt;Q49,0,1)</f>
        <v>0</v>
      </c>
      <c r="R42" s="82">
        <f>IF(VariableLengthSubnetMaskCalc.!D43&gt;R49,0,1)</f>
        <v>0</v>
      </c>
      <c r="S42" s="90">
        <f>IF(VariableLengthSubnetMaskCalc.!D43&gt;S49,0,1)</f>
        <v>0</v>
      </c>
      <c r="T42" s="65">
        <f>IF(VariableLengthSubnetMaskCalc.!D43&gt;T49,0,1)</f>
        <v>0</v>
      </c>
      <c r="U42" s="65">
        <f>IF(VariableLengthSubnetMaskCalc.!D43&gt;U49,0,1)</f>
        <v>0</v>
      </c>
      <c r="V42" s="65">
        <f>IF(VariableLengthSubnetMaskCalc.!D43&gt;V49,0,1)</f>
        <v>0</v>
      </c>
      <c r="W42" s="65">
        <f>IF(VariableLengthSubnetMaskCalc.!D43&gt;W49,0,1)</f>
        <v>0</v>
      </c>
      <c r="X42" s="65">
        <f>IF(VariableLengthSubnetMaskCalc.!D43&gt;X49,0,1)</f>
        <v>0</v>
      </c>
      <c r="Y42" s="65">
        <f>IF(VariableLengthSubnetMaskCalc.!D43&gt;Y49,0,1)</f>
        <v>0</v>
      </c>
      <c r="Z42" s="82">
        <f>IF(VariableLengthSubnetMaskCalc.!D43&gt;Z49,0,1)</f>
        <v>0</v>
      </c>
      <c r="AA42" s="65">
        <f>IF(VariableLengthSubnetMaskCalc.!D43&gt;AA49,0,1)</f>
        <v>0</v>
      </c>
      <c r="AB42" s="65">
        <f>IF(VariableLengthSubnetMaskCalc.!D43&gt;AB49,0,1)</f>
        <v>0</v>
      </c>
      <c r="AC42" s="65">
        <f>IF(VariableLengthSubnetMaskCalc.!D43&gt;AC49,0,1)</f>
        <v>0</v>
      </c>
      <c r="AD42" s="65">
        <f>IF(VariableLengthSubnetMaskCalc.!D43&gt;AD49,0,1)</f>
        <v>0</v>
      </c>
      <c r="AE42" s="65">
        <f>IF(VariableLengthSubnetMaskCalc.!D43&gt;AE49,0,1)</f>
        <v>0</v>
      </c>
      <c r="AF42" s="65">
        <f>IF(VariableLengthSubnetMaskCalc.!D43&gt;AF49,0,1)</f>
        <v>0</v>
      </c>
      <c r="AG42" s="65">
        <f>IF(VariableLengthSubnetMaskCalc.!D43&gt;AG49,0,1)</f>
        <v>0</v>
      </c>
      <c r="AH42" s="66">
        <f>IF(VariableLengthSubnetMaskCalc.!D43&gt;AH49,0,1)</f>
        <v>0</v>
      </c>
      <c r="AI42" s="55"/>
    </row>
    <row r="43" spans="2:35">
      <c r="B43" s="99"/>
      <c r="C43" s="67">
        <f>IF(C42=1,0,1)</f>
        <v>1</v>
      </c>
      <c r="D43" s="57">
        <f>IF(D42=1,0,1)</f>
        <v>1</v>
      </c>
      <c r="E43" s="57">
        <f>IF(E42=1,0,1)</f>
        <v>1</v>
      </c>
      <c r="F43" s="57">
        <f>IF(F42=1,0,1)</f>
        <v>1</v>
      </c>
      <c r="G43" s="57">
        <f>IF(G42=1,0,1)</f>
        <v>1</v>
      </c>
      <c r="H43" s="57">
        <f>IF(H42=1,0,1)</f>
        <v>1</v>
      </c>
      <c r="I43" s="57">
        <f>IF(I42=1,0,1)</f>
        <v>1</v>
      </c>
      <c r="J43" s="83">
        <f>IF(J42=1,0,1)</f>
        <v>1</v>
      </c>
      <c r="K43" s="91">
        <f>IF(K42=1,0,1)</f>
        <v>1</v>
      </c>
      <c r="L43" s="57">
        <f>IF(L42=1,0,1)</f>
        <v>1</v>
      </c>
      <c r="M43" s="57">
        <f>IF(M42=1,0,1)</f>
        <v>1</v>
      </c>
      <c r="N43" s="57">
        <f>IF(N42=1,0,1)</f>
        <v>1</v>
      </c>
      <c r="O43" s="57">
        <f>IF(O42=1,0,1)</f>
        <v>1</v>
      </c>
      <c r="P43" s="57">
        <f>IF(P42=1,0,1)</f>
        <v>1</v>
      </c>
      <c r="Q43" s="57">
        <f>IF(Q42=1,0,1)</f>
        <v>1</v>
      </c>
      <c r="R43" s="83">
        <f>IF(R42=1,0,1)</f>
        <v>1</v>
      </c>
      <c r="S43" s="91">
        <f>IF(S42=1,0,1)</f>
        <v>1</v>
      </c>
      <c r="T43" s="57">
        <f>IF(T42=1,0,1)</f>
        <v>1</v>
      </c>
      <c r="U43" s="57">
        <f>IF(U42=1,0,1)</f>
        <v>1</v>
      </c>
      <c r="V43" s="57">
        <f>IF(V42=1,0,1)</f>
        <v>1</v>
      </c>
      <c r="W43" s="57">
        <f>IF(W42=1,0,1)</f>
        <v>1</v>
      </c>
      <c r="X43" s="57">
        <f>IF(X42=1,0,1)</f>
        <v>1</v>
      </c>
      <c r="Y43" s="57">
        <f>IF(Y42=1,0,1)</f>
        <v>1</v>
      </c>
      <c r="Z43" s="83">
        <f>IF(Z42=1,0,1)</f>
        <v>1</v>
      </c>
      <c r="AA43" s="57">
        <f>IF(AA42=1,0,1)</f>
        <v>1</v>
      </c>
      <c r="AB43" s="57">
        <f>IF(AB42=1,0,1)</f>
        <v>1</v>
      </c>
      <c r="AC43" s="57">
        <f>IF(AC42=1,0,1)</f>
        <v>1</v>
      </c>
      <c r="AD43" s="57">
        <f>IF(AD42=1,0,1)</f>
        <v>1</v>
      </c>
      <c r="AE43" s="57">
        <f>IF(AE42=1,0,1)</f>
        <v>1</v>
      </c>
      <c r="AF43" s="57">
        <f>IF(AF42=1,0,1)</f>
        <v>1</v>
      </c>
      <c r="AG43" s="57">
        <f>IF(AG42=1,0,1)</f>
        <v>1</v>
      </c>
      <c r="AH43" s="68">
        <f>IF(AH42=1,0,1)</f>
        <v>1</v>
      </c>
      <c r="AI43" s="55"/>
    </row>
    <row r="44" spans="2:35">
      <c r="B44" s="99"/>
      <c r="C44" s="69"/>
      <c r="D44" s="58"/>
      <c r="E44" s="58"/>
      <c r="F44" s="58"/>
      <c r="G44" s="58"/>
      <c r="H44" s="58"/>
      <c r="I44" s="58"/>
      <c r="J44" s="84"/>
      <c r="K44" s="92"/>
      <c r="L44" s="58"/>
      <c r="M44" s="58"/>
      <c r="N44" s="58"/>
      <c r="O44" s="58"/>
      <c r="P44" s="58"/>
      <c r="Q44" s="58"/>
      <c r="R44" s="84"/>
      <c r="S44" s="92"/>
      <c r="T44" s="58"/>
      <c r="U44" s="58"/>
      <c r="V44" s="58"/>
      <c r="W44" s="58"/>
      <c r="X44" s="58"/>
      <c r="Y44" s="58"/>
      <c r="Z44" s="84"/>
      <c r="AA44" s="58"/>
      <c r="AB44" s="58"/>
      <c r="AC44" s="58"/>
      <c r="AD44" s="58"/>
      <c r="AE44" s="58"/>
      <c r="AF44" s="58"/>
      <c r="AG44" s="58"/>
      <c r="AH44" s="70"/>
      <c r="AI44" s="55"/>
    </row>
    <row r="45" spans="2:35">
      <c r="B45" s="99"/>
      <c r="C45" s="71" t="str">
        <f>CONCATENATE(C42,D42,E42,F42,G42,H42,I42,J42)</f>
        <v>00000000</v>
      </c>
      <c r="D45" s="59"/>
      <c r="E45" s="59"/>
      <c r="F45" s="59"/>
      <c r="G45" s="59">
        <f>BIN2DEC(C45)</f>
        <v>0</v>
      </c>
      <c r="H45" s="59"/>
      <c r="I45" s="59"/>
      <c r="J45" s="85"/>
      <c r="K45" s="93" t="str">
        <f>CONCATENATE(K42,L42,M42,N42,O42,P42,Q42,R42)</f>
        <v>00000000</v>
      </c>
      <c r="L45" s="59"/>
      <c r="M45" s="59"/>
      <c r="N45" s="59"/>
      <c r="O45" s="59">
        <f>BIN2DEC(K45)</f>
        <v>0</v>
      </c>
      <c r="P45" s="59"/>
      <c r="Q45" s="59"/>
      <c r="R45" s="85"/>
      <c r="S45" s="93" t="str">
        <f>CONCATENATE(S42,T42,U42,V42,W42,X42,Y42,Z42)</f>
        <v>00000000</v>
      </c>
      <c r="T45" s="59"/>
      <c r="U45" s="59"/>
      <c r="V45" s="59"/>
      <c r="W45" s="59">
        <f>BIN2DEC(S45)</f>
        <v>0</v>
      </c>
      <c r="X45" s="59"/>
      <c r="Y45" s="59"/>
      <c r="Z45" s="85"/>
      <c r="AA45" s="59" t="str">
        <f>CONCATENATE(AA42,AB42,AC42,AD42,AE42,AF42,AG42,AH42)</f>
        <v>00000000</v>
      </c>
      <c r="AB45" s="59"/>
      <c r="AC45" s="59"/>
      <c r="AD45" s="59"/>
      <c r="AE45" s="59">
        <f>BIN2DEC(AA45)</f>
        <v>0</v>
      </c>
      <c r="AF45" s="59"/>
      <c r="AG45" s="59"/>
      <c r="AH45" s="72"/>
      <c r="AI45" s="55"/>
    </row>
    <row r="46" spans="2:35">
      <c r="B46" s="99"/>
      <c r="C46" s="71" t="str">
        <f>CONCATENATE(C43,D43,E43,F43,G43,H43,I43,J43,)</f>
        <v>11111111</v>
      </c>
      <c r="D46" s="59"/>
      <c r="E46" s="59"/>
      <c r="F46" s="59"/>
      <c r="G46" s="59">
        <f>BIN2DEC(C46)</f>
        <v>255</v>
      </c>
      <c r="H46" s="59"/>
      <c r="I46" s="59"/>
      <c r="J46" s="85"/>
      <c r="K46" s="93" t="str">
        <f>CONCATENATE(K43,L43,M43,N43,O43,P43,Q43,R43,)</f>
        <v>11111111</v>
      </c>
      <c r="L46" s="59"/>
      <c r="M46" s="59"/>
      <c r="N46" s="59"/>
      <c r="O46" s="59">
        <f>BIN2DEC(K46)</f>
        <v>255</v>
      </c>
      <c r="P46" s="59"/>
      <c r="Q46" s="59"/>
      <c r="R46" s="85"/>
      <c r="S46" s="93" t="str">
        <f>CONCATENATE(S43,T43,U43,V43,W43,X43,Y43,Z43,)</f>
        <v>11111111</v>
      </c>
      <c r="T46" s="59"/>
      <c r="U46" s="59"/>
      <c r="V46" s="59"/>
      <c r="W46" s="59">
        <f>BIN2DEC(S46)</f>
        <v>255</v>
      </c>
      <c r="X46" s="59"/>
      <c r="Y46" s="59"/>
      <c r="Z46" s="85"/>
      <c r="AA46" s="59" t="str">
        <f>CONCATENATE(AA43,AB43,AC43,AD43,AE43,AF43,AG43,AH43,)</f>
        <v>11111111</v>
      </c>
      <c r="AB46" s="59"/>
      <c r="AC46" s="59"/>
      <c r="AD46" s="59"/>
      <c r="AE46" s="59">
        <f>BIN2DEC(AA46)</f>
        <v>255</v>
      </c>
      <c r="AF46" s="59"/>
      <c r="AG46" s="59"/>
      <c r="AH46" s="72"/>
      <c r="AI46" s="55"/>
    </row>
    <row r="47" spans="2:35">
      <c r="B47" s="99"/>
      <c r="C47" s="73" t="b">
        <f>AND(VariableLengthSubnetMaskCalc.!D42+2&lt;C49,VariableLengthSubnetMaskCalc.!D42+2&gt;D49)</f>
        <v>0</v>
      </c>
      <c r="D47" s="60" t="b">
        <f>AND(VariableLengthSubnetMaskCalc.!D42+2&lt;D49,VariableLengthSubnetMaskCalc.!D42+2&gt;E49)</f>
        <v>0</v>
      </c>
      <c r="E47" s="60" t="b">
        <f>AND(VariableLengthSubnetMaskCalc.!D42+2&lt;E49,VariableLengthSubnetMaskCalc.!D42+2&gt;F49)</f>
        <v>0</v>
      </c>
      <c r="F47" s="60" t="b">
        <f>AND(VariableLengthSubnetMaskCalc.!D42+2&lt;F49,VariableLengthSubnetMaskCalc.!D42+2&gt;G49)</f>
        <v>0</v>
      </c>
      <c r="G47" s="60" t="b">
        <f>AND(VariableLengthSubnetMaskCalc.!D42+2&lt;G49,VariableLengthSubnetMaskCalc.!D42+2&gt;H49)</f>
        <v>0</v>
      </c>
      <c r="H47" s="60" t="b">
        <f>AND(VariableLengthSubnetMaskCalc.!D42+2&lt;H49,VariableLengthSubnetMaskCalc.!D42+2&gt;I49)</f>
        <v>0</v>
      </c>
      <c r="I47" s="60" t="b">
        <f>AND(VariableLengthSubnetMaskCalc.!D42+2&lt;I49,VariableLengthSubnetMaskCalc.!D42+2&gt;J49)</f>
        <v>0</v>
      </c>
      <c r="J47" s="86" t="b">
        <f>AND(VariableLengthSubnetMaskCalc.!D42+2&lt;J49,VariableLengthSubnetMaskCalc.!D42+2&gt;K49)</f>
        <v>0</v>
      </c>
      <c r="K47" s="94" t="b">
        <f>AND(VariableLengthSubnetMaskCalc.!D42+2&lt;K49,VariableLengthSubnetMaskCalc.!D42+2&gt;L49)</f>
        <v>0</v>
      </c>
      <c r="L47" s="60" t="b">
        <f>AND(VariableLengthSubnetMaskCalc.!D42+2&lt;L49,VariableLengthSubnetMaskCalc.!D42+2&gt;M49)</f>
        <v>0</v>
      </c>
      <c r="M47" s="60" t="b">
        <f>AND(VariableLengthSubnetMaskCalc.!D42+2&lt;M49,VariableLengthSubnetMaskCalc.!D42+2&gt;N49)</f>
        <v>0</v>
      </c>
      <c r="N47" s="60" t="b">
        <f>AND(VariableLengthSubnetMaskCalc.!D42+2&lt;N49,VariableLengthSubnetMaskCalc.!D42+2&gt;O49)</f>
        <v>0</v>
      </c>
      <c r="O47" s="60" t="b">
        <f>AND(VariableLengthSubnetMaskCalc.!D42+2&lt;O49,VariableLengthSubnetMaskCalc.!D42+2&gt;P49)</f>
        <v>0</v>
      </c>
      <c r="P47" s="60" t="b">
        <f>AND(VariableLengthSubnetMaskCalc.!D42+2&lt;P49,VariableLengthSubnetMaskCalc.!D42+2&gt;Q49)</f>
        <v>0</v>
      </c>
      <c r="Q47" s="60" t="b">
        <f>AND(VariableLengthSubnetMaskCalc.!D42+2&lt;Q49,VariableLengthSubnetMaskCalc.!D42+2&gt;R49)</f>
        <v>0</v>
      </c>
      <c r="R47" s="86" t="b">
        <f>AND(VariableLengthSubnetMaskCalc.!D42+2&lt;R49,VariableLengthSubnetMaskCalc.!D42+2&gt;S49)</f>
        <v>0</v>
      </c>
      <c r="S47" s="94" t="b">
        <f>AND(VariableLengthSubnetMaskCalc.!D42+2&lt;S49,VariableLengthSubnetMaskCalc.!D42+2&gt;T49)</f>
        <v>0</v>
      </c>
      <c r="T47" s="60" t="b">
        <f>AND(VariableLengthSubnetMaskCalc.!D42+2&lt;T49,VariableLengthSubnetMaskCalc.!D42+2&gt;U49)</f>
        <v>0</v>
      </c>
      <c r="U47" s="60" t="b">
        <f>AND(VariableLengthSubnetMaskCalc.!D42+2&lt;U49,VariableLengthSubnetMaskCalc.!D42+2&gt;V49)</f>
        <v>0</v>
      </c>
      <c r="V47" s="60" t="b">
        <f>AND(VariableLengthSubnetMaskCalc.!D42+2&lt;V49,VariableLengthSubnetMaskCalc.!D42+2&gt;W49)</f>
        <v>0</v>
      </c>
      <c r="W47" s="60" t="b">
        <f>AND(VariableLengthSubnetMaskCalc.!D42+2&lt;W49,VariableLengthSubnetMaskCalc.!D42+2&gt;X49)</f>
        <v>0</v>
      </c>
      <c r="X47" s="60" t="b">
        <f>AND(VariableLengthSubnetMaskCalc.!D42+2&lt;X49,VariableLengthSubnetMaskCalc.!D42+2&gt;Y49)</f>
        <v>0</v>
      </c>
      <c r="Y47" s="60" t="b">
        <f>AND(VariableLengthSubnetMaskCalc.!D42+2&lt;Y49,VariableLengthSubnetMaskCalc.!D42+2&gt;Z49)</f>
        <v>0</v>
      </c>
      <c r="Z47" s="86" t="b">
        <f>AND(VariableLengthSubnetMaskCalc.!D42+2&lt;Z49,VariableLengthSubnetMaskCalc.!D42+2&gt;AA49)</f>
        <v>0</v>
      </c>
      <c r="AA47" s="60" t="b">
        <f>AND(VariableLengthSubnetMaskCalc.!D42+2&lt;AA49,VariableLengthSubnetMaskCalc.!D42+2&gt;AB49)</f>
        <v>0</v>
      </c>
      <c r="AB47" s="60" t="b">
        <f>AND(VariableLengthSubnetMaskCalc.!D42+2&lt;AB49,VariableLengthSubnetMaskCalc.!D42+2&gt;AC49)</f>
        <v>0</v>
      </c>
      <c r="AC47" s="60" t="b">
        <f>AND(VariableLengthSubnetMaskCalc.!D42+2&lt;AC49,VariableLengthSubnetMaskCalc.!D42+2&gt;AD49)</f>
        <v>0</v>
      </c>
      <c r="AD47" s="60" t="b">
        <f>AND(VariableLengthSubnetMaskCalc.!D42+2&lt;AD49,VariableLengthSubnetMaskCalc.!D42+2&gt;AE49)</f>
        <v>0</v>
      </c>
      <c r="AE47" s="60" t="b">
        <f>AND(VariableLengthSubnetMaskCalc.!D42+2&lt;AE49,VariableLengthSubnetMaskCalc.!D42+2&gt;AF49)</f>
        <v>0</v>
      </c>
      <c r="AF47" s="60" t="b">
        <f>AND(VariableLengthSubnetMaskCalc.!D42+2&lt;AF49,VariableLengthSubnetMaskCalc.!D42+2&gt;AG49)</f>
        <v>0</v>
      </c>
      <c r="AG47" s="60" t="b">
        <f>AND(VariableLengthSubnetMaskCalc.!D42+2&lt;AG49,VariableLengthSubnetMaskCalc.!D42+2&gt;AH49)</f>
        <v>0</v>
      </c>
      <c r="AH47" s="74" t="b">
        <f>AND(VariableLengthSubnetMaskCalc.!D42+2&lt;AH49,VariableLengthSubnetMaskCalc.!D42+2&gt;0)</f>
        <v>0</v>
      </c>
      <c r="AI47" s="55"/>
    </row>
    <row r="48" spans="2:35">
      <c r="B48" s="99"/>
      <c r="C48" s="75">
        <f>AA49</f>
        <v>128</v>
      </c>
      <c r="D48" s="61">
        <f>AB49</f>
        <v>64</v>
      </c>
      <c r="E48" s="61">
        <f>AC49</f>
        <v>32</v>
      </c>
      <c r="F48" s="61">
        <f>AD49</f>
        <v>16</v>
      </c>
      <c r="G48" s="61">
        <f>AE49</f>
        <v>8</v>
      </c>
      <c r="H48" s="61">
        <f>AF49</f>
        <v>4</v>
      </c>
      <c r="I48" s="61">
        <f>AG49</f>
        <v>2</v>
      </c>
      <c r="J48" s="87">
        <f>AH49</f>
        <v>1</v>
      </c>
      <c r="K48" s="95">
        <f>AA49</f>
        <v>128</v>
      </c>
      <c r="L48" s="61">
        <f>AB49</f>
        <v>64</v>
      </c>
      <c r="M48" s="61">
        <f>AC49</f>
        <v>32</v>
      </c>
      <c r="N48" s="61">
        <f>AD49</f>
        <v>16</v>
      </c>
      <c r="O48" s="61">
        <f>AE49</f>
        <v>8</v>
      </c>
      <c r="P48" s="61">
        <f>AF49</f>
        <v>4</v>
      </c>
      <c r="Q48" s="61">
        <f>AG49</f>
        <v>2</v>
      </c>
      <c r="R48" s="87">
        <f>AH49</f>
        <v>1</v>
      </c>
      <c r="S48" s="95">
        <f>AA49</f>
        <v>128</v>
      </c>
      <c r="T48" s="61">
        <f>AB49</f>
        <v>64</v>
      </c>
      <c r="U48" s="61">
        <f>AC49</f>
        <v>32</v>
      </c>
      <c r="V48" s="61">
        <f>AD49</f>
        <v>16</v>
      </c>
      <c r="W48" s="61">
        <f>AE49</f>
        <v>8</v>
      </c>
      <c r="X48" s="61">
        <f>AF49</f>
        <v>4</v>
      </c>
      <c r="Y48" s="61">
        <f>AG49</f>
        <v>2</v>
      </c>
      <c r="Z48" s="87">
        <f>AH49</f>
        <v>1</v>
      </c>
      <c r="AA48" s="61">
        <f>AA49</f>
        <v>128</v>
      </c>
      <c r="AB48" s="61">
        <f>AB49</f>
        <v>64</v>
      </c>
      <c r="AC48" s="61">
        <f>AC49</f>
        <v>32</v>
      </c>
      <c r="AD48" s="61">
        <f>AD49</f>
        <v>16</v>
      </c>
      <c r="AE48" s="61">
        <f>AE49</f>
        <v>8</v>
      </c>
      <c r="AF48" s="61">
        <f>AF49</f>
        <v>4</v>
      </c>
      <c r="AG48" s="61">
        <f>AG49</f>
        <v>2</v>
      </c>
      <c r="AH48" s="76">
        <f>AH49</f>
        <v>1</v>
      </c>
      <c r="AI48" s="55"/>
    </row>
    <row r="49" spans="2:35">
      <c r="B49" s="99"/>
      <c r="C49" s="75">
        <f>D49*2</f>
        <v>2147483648</v>
      </c>
      <c r="D49" s="61">
        <f>E49*2</f>
        <v>1073741824</v>
      </c>
      <c r="E49" s="61">
        <f>F49*2</f>
        <v>536870912</v>
      </c>
      <c r="F49" s="61">
        <f>G49*2</f>
        <v>268435456</v>
      </c>
      <c r="G49" s="61">
        <f>H49*2</f>
        <v>134217728</v>
      </c>
      <c r="H49" s="61">
        <f>I49*2</f>
        <v>67108864</v>
      </c>
      <c r="I49" s="61">
        <f>J49*2</f>
        <v>33554432</v>
      </c>
      <c r="J49" s="87">
        <f>K49*2</f>
        <v>16777216</v>
      </c>
      <c r="K49" s="95">
        <f>L49*2</f>
        <v>8388608</v>
      </c>
      <c r="L49" s="61">
        <f>M49*2</f>
        <v>4194304</v>
      </c>
      <c r="M49" s="61">
        <f>N49*2</f>
        <v>2097152</v>
      </c>
      <c r="N49" s="61">
        <f>O49*2</f>
        <v>1048576</v>
      </c>
      <c r="O49" s="61">
        <f>P49*2</f>
        <v>524288</v>
      </c>
      <c r="P49" s="61">
        <f>Q49*2</f>
        <v>262144</v>
      </c>
      <c r="Q49" s="61">
        <f>R49*2</f>
        <v>131072</v>
      </c>
      <c r="R49" s="87">
        <f>S49*2</f>
        <v>65536</v>
      </c>
      <c r="S49" s="95">
        <f>T49*2</f>
        <v>32768</v>
      </c>
      <c r="T49" s="61">
        <f>U49*2</f>
        <v>16384</v>
      </c>
      <c r="U49" s="61">
        <f>V49*2</f>
        <v>8192</v>
      </c>
      <c r="V49" s="61">
        <f>W49*2</f>
        <v>4096</v>
      </c>
      <c r="W49" s="61">
        <f>X49*2</f>
        <v>2048</v>
      </c>
      <c r="X49" s="61">
        <f>Y49*2</f>
        <v>1024</v>
      </c>
      <c r="Y49" s="61">
        <f>Z49*2</f>
        <v>512</v>
      </c>
      <c r="Z49" s="87">
        <f>AA49*2</f>
        <v>256</v>
      </c>
      <c r="AA49" s="61">
        <f>AB49*2</f>
        <v>128</v>
      </c>
      <c r="AB49" s="61">
        <f>AC49*2</f>
        <v>64</v>
      </c>
      <c r="AC49" s="61">
        <f>AD49*2</f>
        <v>32</v>
      </c>
      <c r="AD49" s="61">
        <f>AE49*2</f>
        <v>16</v>
      </c>
      <c r="AE49" s="61">
        <f>AF49*2</f>
        <v>8</v>
      </c>
      <c r="AF49" s="61">
        <f>AG49*2</f>
        <v>4</v>
      </c>
      <c r="AG49" s="61">
        <f>AH49*2</f>
        <v>2</v>
      </c>
      <c r="AH49" s="76">
        <v>1</v>
      </c>
      <c r="AI49" s="55"/>
    </row>
    <row r="50" spans="2:35">
      <c r="B50" s="99"/>
      <c r="C50" s="77">
        <f>C40+1</f>
        <v>5</v>
      </c>
      <c r="D50" s="62"/>
      <c r="E50" s="62"/>
      <c r="F50" s="62"/>
      <c r="G50" s="62" t="str">
        <f>CONCATENATE(C50,"th")</f>
        <v>5th</v>
      </c>
      <c r="H50" s="62"/>
      <c r="I50" s="62"/>
      <c r="J50" s="88"/>
      <c r="K50" s="92"/>
      <c r="L50" s="58"/>
      <c r="M50" s="58"/>
      <c r="N50" s="58"/>
      <c r="O50" s="58"/>
      <c r="P50" s="58"/>
      <c r="Q50" s="58"/>
      <c r="R50" s="84"/>
      <c r="S50" s="92"/>
      <c r="T50" s="58"/>
      <c r="U50" s="58"/>
      <c r="V50" s="58"/>
      <c r="W50" s="58"/>
      <c r="X50" s="58"/>
      <c r="Y50" s="58"/>
      <c r="Z50" s="84"/>
      <c r="AA50" s="58"/>
      <c r="AB50" s="58"/>
      <c r="AC50" s="58"/>
      <c r="AD50" s="58"/>
      <c r="AE50" s="58"/>
      <c r="AF50" s="58"/>
      <c r="AG50" s="58"/>
      <c r="AH50" s="70"/>
      <c r="AI50" s="55"/>
    </row>
    <row r="51" spans="2:35" ht="15.75" thickBot="1">
      <c r="B51" s="100"/>
      <c r="C51" s="78" t="str">
        <f>IF(OR(VariableLengthSubnetMaskCalc.!$D$2="",VariableLengthSubnetMaskCalc.!$D$12="",VariableLengthSubnetMaskCalc.!$D$22="",VariableLengthSubnetMaskCalc.!$D$32="",VariableLengthSubnetMaskCalc.!$D$42=""),"",VariableLengthSubnetMaskCalc.!D42)</f>
        <v/>
      </c>
      <c r="D51" s="79"/>
      <c r="E51" s="79"/>
      <c r="F51" s="79"/>
      <c r="G51" s="79"/>
      <c r="H51" s="79"/>
      <c r="I51" s="79"/>
      <c r="J51" s="89"/>
      <c r="K51" s="96"/>
      <c r="L51" s="80"/>
      <c r="M51" s="80"/>
      <c r="N51" s="80"/>
      <c r="O51" s="80"/>
      <c r="P51" s="80"/>
      <c r="Q51" s="80"/>
      <c r="R51" s="97"/>
      <c r="S51" s="96"/>
      <c r="T51" s="80"/>
      <c r="U51" s="80"/>
      <c r="V51" s="80"/>
      <c r="W51" s="80"/>
      <c r="X51" s="80"/>
      <c r="Y51" s="80"/>
      <c r="Z51" s="97"/>
      <c r="AA51" s="80"/>
      <c r="AB51" s="80"/>
      <c r="AC51" s="80"/>
      <c r="AD51" s="80"/>
      <c r="AE51" s="80"/>
      <c r="AF51" s="80"/>
      <c r="AG51" s="80"/>
      <c r="AH51" s="81"/>
      <c r="AI51" s="55"/>
    </row>
    <row r="52" spans="2:35" ht="15" customHeight="1">
      <c r="B52" s="98" t="str">
        <f>VariableLengthSubnetMaskCalc.!B52</f>
        <v>6th
Network</v>
      </c>
      <c r="C52" s="64">
        <f>IF(VariableLengthSubnetMaskCalc.!D53&gt;C59,0,1)</f>
        <v>0</v>
      </c>
      <c r="D52" s="65">
        <f>IF(VariableLengthSubnetMaskCalc.!D53&gt;D59,0,1)</f>
        <v>0</v>
      </c>
      <c r="E52" s="65">
        <f>IF(VariableLengthSubnetMaskCalc.!D53&gt;E59,0,1)</f>
        <v>0</v>
      </c>
      <c r="F52" s="65">
        <f>IF(VariableLengthSubnetMaskCalc.!D53&gt;F59,0,1)</f>
        <v>0</v>
      </c>
      <c r="G52" s="65">
        <f>IF(VariableLengthSubnetMaskCalc.!D53&gt;G59,0,1)</f>
        <v>0</v>
      </c>
      <c r="H52" s="65">
        <f>IF(VariableLengthSubnetMaskCalc.!D53&gt;H59,0,1)</f>
        <v>0</v>
      </c>
      <c r="I52" s="65">
        <f>IF(VariableLengthSubnetMaskCalc.!D53&gt;I59,0,1)</f>
        <v>0</v>
      </c>
      <c r="J52" s="82">
        <f>IF(VariableLengthSubnetMaskCalc.!D53&gt;J59,0,1)</f>
        <v>0</v>
      </c>
      <c r="K52" s="90">
        <f>IF(VariableLengthSubnetMaskCalc.!D53&gt;K59,0,1)</f>
        <v>0</v>
      </c>
      <c r="L52" s="65">
        <f>IF(VariableLengthSubnetMaskCalc.!D53&gt;L59,0,1)</f>
        <v>0</v>
      </c>
      <c r="M52" s="65">
        <f>IF(VariableLengthSubnetMaskCalc.!D53&gt;M59,0,1)</f>
        <v>0</v>
      </c>
      <c r="N52" s="65">
        <f>IF(VariableLengthSubnetMaskCalc.!D53&gt;N59,0,1)</f>
        <v>0</v>
      </c>
      <c r="O52" s="65">
        <f>IF(VariableLengthSubnetMaskCalc.!D53&gt;O59,0,1)</f>
        <v>0</v>
      </c>
      <c r="P52" s="65">
        <f>IF(VariableLengthSubnetMaskCalc.!D53&gt;P59,0,1)</f>
        <v>0</v>
      </c>
      <c r="Q52" s="65">
        <f>IF(VariableLengthSubnetMaskCalc.!D53&gt;Q59,0,1)</f>
        <v>0</v>
      </c>
      <c r="R52" s="82">
        <f>IF(VariableLengthSubnetMaskCalc.!D53&gt;R59,0,1)</f>
        <v>0</v>
      </c>
      <c r="S52" s="90">
        <f>IF(VariableLengthSubnetMaskCalc.!D53&gt;S59,0,1)</f>
        <v>0</v>
      </c>
      <c r="T52" s="65">
        <f>IF(VariableLengthSubnetMaskCalc.!D53&gt;T59,0,1)</f>
        <v>0</v>
      </c>
      <c r="U52" s="65">
        <f>IF(VariableLengthSubnetMaskCalc.!D53&gt;U59,0,1)</f>
        <v>0</v>
      </c>
      <c r="V52" s="65">
        <f>IF(VariableLengthSubnetMaskCalc.!D53&gt;V59,0,1)</f>
        <v>0</v>
      </c>
      <c r="W52" s="65">
        <f>IF(VariableLengthSubnetMaskCalc.!D53&gt;W59,0,1)</f>
        <v>0</v>
      </c>
      <c r="X52" s="65">
        <f>IF(VariableLengthSubnetMaskCalc.!D53&gt;X59,0,1)</f>
        <v>0</v>
      </c>
      <c r="Y52" s="65">
        <f>IF(VariableLengthSubnetMaskCalc.!D53&gt;Y59,0,1)</f>
        <v>0</v>
      </c>
      <c r="Z52" s="82">
        <f>IF(VariableLengthSubnetMaskCalc.!D53&gt;Z59,0,1)</f>
        <v>0</v>
      </c>
      <c r="AA52" s="65">
        <f>IF(VariableLengthSubnetMaskCalc.!D53&gt;AA59,0,1)</f>
        <v>0</v>
      </c>
      <c r="AB52" s="65">
        <f>IF(VariableLengthSubnetMaskCalc.!D53&gt;AB59,0,1)</f>
        <v>0</v>
      </c>
      <c r="AC52" s="65">
        <f>IF(VariableLengthSubnetMaskCalc.!D53&gt;AC59,0,1)</f>
        <v>0</v>
      </c>
      <c r="AD52" s="65">
        <f>IF(VariableLengthSubnetMaskCalc.!D53&gt;AD59,0,1)</f>
        <v>0</v>
      </c>
      <c r="AE52" s="65">
        <f>IF(VariableLengthSubnetMaskCalc.!D53&gt;AE59,0,1)</f>
        <v>0</v>
      </c>
      <c r="AF52" s="65">
        <f>IF(VariableLengthSubnetMaskCalc.!D53&gt;AF59,0,1)</f>
        <v>0</v>
      </c>
      <c r="AG52" s="65">
        <f>IF(VariableLengthSubnetMaskCalc.!D53&gt;AG59,0,1)</f>
        <v>0</v>
      </c>
      <c r="AH52" s="66">
        <f>IF(VariableLengthSubnetMaskCalc.!D53&gt;AH59,0,1)</f>
        <v>0</v>
      </c>
      <c r="AI52" s="55"/>
    </row>
    <row r="53" spans="2:35">
      <c r="B53" s="99"/>
      <c r="C53" s="67">
        <f>IF(C52=1,0,1)</f>
        <v>1</v>
      </c>
      <c r="D53" s="57">
        <f>IF(D52=1,0,1)</f>
        <v>1</v>
      </c>
      <c r="E53" s="57">
        <f>IF(E52=1,0,1)</f>
        <v>1</v>
      </c>
      <c r="F53" s="57">
        <f>IF(F52=1,0,1)</f>
        <v>1</v>
      </c>
      <c r="G53" s="57">
        <f>IF(G52=1,0,1)</f>
        <v>1</v>
      </c>
      <c r="H53" s="57">
        <f>IF(H52=1,0,1)</f>
        <v>1</v>
      </c>
      <c r="I53" s="57">
        <f>IF(I52=1,0,1)</f>
        <v>1</v>
      </c>
      <c r="J53" s="83">
        <f>IF(J52=1,0,1)</f>
        <v>1</v>
      </c>
      <c r="K53" s="91">
        <f>IF(K52=1,0,1)</f>
        <v>1</v>
      </c>
      <c r="L53" s="57">
        <f>IF(L52=1,0,1)</f>
        <v>1</v>
      </c>
      <c r="M53" s="57">
        <f>IF(M52=1,0,1)</f>
        <v>1</v>
      </c>
      <c r="N53" s="57">
        <f>IF(N52=1,0,1)</f>
        <v>1</v>
      </c>
      <c r="O53" s="57">
        <f>IF(O52=1,0,1)</f>
        <v>1</v>
      </c>
      <c r="P53" s="57">
        <f>IF(P52=1,0,1)</f>
        <v>1</v>
      </c>
      <c r="Q53" s="57">
        <f>IF(Q52=1,0,1)</f>
        <v>1</v>
      </c>
      <c r="R53" s="83">
        <f>IF(R52=1,0,1)</f>
        <v>1</v>
      </c>
      <c r="S53" s="91">
        <f>IF(S52=1,0,1)</f>
        <v>1</v>
      </c>
      <c r="T53" s="57">
        <f>IF(T52=1,0,1)</f>
        <v>1</v>
      </c>
      <c r="U53" s="57">
        <f>IF(U52=1,0,1)</f>
        <v>1</v>
      </c>
      <c r="V53" s="57">
        <f>IF(V52=1,0,1)</f>
        <v>1</v>
      </c>
      <c r="W53" s="57">
        <f>IF(W52=1,0,1)</f>
        <v>1</v>
      </c>
      <c r="X53" s="57">
        <f>IF(X52=1,0,1)</f>
        <v>1</v>
      </c>
      <c r="Y53" s="57">
        <f>IF(Y52=1,0,1)</f>
        <v>1</v>
      </c>
      <c r="Z53" s="83">
        <f>IF(Z52=1,0,1)</f>
        <v>1</v>
      </c>
      <c r="AA53" s="57">
        <f>IF(AA52=1,0,1)</f>
        <v>1</v>
      </c>
      <c r="AB53" s="57">
        <f>IF(AB52=1,0,1)</f>
        <v>1</v>
      </c>
      <c r="AC53" s="57">
        <f>IF(AC52=1,0,1)</f>
        <v>1</v>
      </c>
      <c r="AD53" s="57">
        <f>IF(AD52=1,0,1)</f>
        <v>1</v>
      </c>
      <c r="AE53" s="57">
        <f>IF(AE52=1,0,1)</f>
        <v>1</v>
      </c>
      <c r="AF53" s="57">
        <f>IF(AF52=1,0,1)</f>
        <v>1</v>
      </c>
      <c r="AG53" s="57">
        <f>IF(AG52=1,0,1)</f>
        <v>1</v>
      </c>
      <c r="AH53" s="68">
        <f>IF(AH52=1,0,1)</f>
        <v>1</v>
      </c>
      <c r="AI53" s="55"/>
    </row>
    <row r="54" spans="2:35">
      <c r="B54" s="99"/>
      <c r="C54" s="69"/>
      <c r="D54" s="58"/>
      <c r="E54" s="58"/>
      <c r="F54" s="58"/>
      <c r="G54" s="58"/>
      <c r="H54" s="58"/>
      <c r="I54" s="58"/>
      <c r="J54" s="84"/>
      <c r="K54" s="92"/>
      <c r="L54" s="58"/>
      <c r="M54" s="58"/>
      <c r="N54" s="58"/>
      <c r="O54" s="58"/>
      <c r="P54" s="58"/>
      <c r="Q54" s="58"/>
      <c r="R54" s="84"/>
      <c r="S54" s="92"/>
      <c r="T54" s="58"/>
      <c r="U54" s="58"/>
      <c r="V54" s="58"/>
      <c r="W54" s="58"/>
      <c r="X54" s="58"/>
      <c r="Y54" s="58"/>
      <c r="Z54" s="84"/>
      <c r="AA54" s="58"/>
      <c r="AB54" s="58"/>
      <c r="AC54" s="58"/>
      <c r="AD54" s="58"/>
      <c r="AE54" s="58"/>
      <c r="AF54" s="58"/>
      <c r="AG54" s="58"/>
      <c r="AH54" s="70"/>
      <c r="AI54" s="55"/>
    </row>
    <row r="55" spans="2:35">
      <c r="B55" s="99"/>
      <c r="C55" s="71" t="str">
        <f>CONCATENATE(C52,D52,E52,F52,G52,H52,I52,J52)</f>
        <v>00000000</v>
      </c>
      <c r="D55" s="59"/>
      <c r="E55" s="59"/>
      <c r="F55" s="59"/>
      <c r="G55" s="59">
        <f>BIN2DEC(C55)</f>
        <v>0</v>
      </c>
      <c r="H55" s="59"/>
      <c r="I55" s="59"/>
      <c r="J55" s="85"/>
      <c r="K55" s="93" t="str">
        <f>CONCATENATE(K52,L52,M52,N52,O52,P52,Q52,R52)</f>
        <v>00000000</v>
      </c>
      <c r="L55" s="59"/>
      <c r="M55" s="59"/>
      <c r="N55" s="59"/>
      <c r="O55" s="59">
        <f>BIN2DEC(K55)</f>
        <v>0</v>
      </c>
      <c r="P55" s="59"/>
      <c r="Q55" s="59"/>
      <c r="R55" s="85"/>
      <c r="S55" s="93" t="str">
        <f>CONCATENATE(S52,T52,U52,V52,W52,X52,Y52,Z52)</f>
        <v>00000000</v>
      </c>
      <c r="T55" s="59"/>
      <c r="U55" s="59"/>
      <c r="V55" s="59"/>
      <c r="W55" s="59">
        <f>BIN2DEC(S55)</f>
        <v>0</v>
      </c>
      <c r="X55" s="59"/>
      <c r="Y55" s="59"/>
      <c r="Z55" s="85"/>
      <c r="AA55" s="59" t="str">
        <f>CONCATENATE(AA52,AB52,AC52,AD52,AE52,AF52,AG52,AH52)</f>
        <v>00000000</v>
      </c>
      <c r="AB55" s="59"/>
      <c r="AC55" s="59"/>
      <c r="AD55" s="59"/>
      <c r="AE55" s="59">
        <f>BIN2DEC(AA55)</f>
        <v>0</v>
      </c>
      <c r="AF55" s="59"/>
      <c r="AG55" s="59"/>
      <c r="AH55" s="72"/>
      <c r="AI55" s="55"/>
    </row>
    <row r="56" spans="2:35">
      <c r="B56" s="99"/>
      <c r="C56" s="71" t="str">
        <f>CONCATENATE(C53,D53,E53,F53,G53,H53,I53,J53,)</f>
        <v>11111111</v>
      </c>
      <c r="D56" s="59"/>
      <c r="E56" s="59"/>
      <c r="F56" s="59"/>
      <c r="G56" s="59">
        <f>BIN2DEC(C56)</f>
        <v>255</v>
      </c>
      <c r="H56" s="59"/>
      <c r="I56" s="59"/>
      <c r="J56" s="85"/>
      <c r="K56" s="93" t="str">
        <f>CONCATENATE(K53,L53,M53,N53,O53,P53,Q53,R53,)</f>
        <v>11111111</v>
      </c>
      <c r="L56" s="59"/>
      <c r="M56" s="59"/>
      <c r="N56" s="59"/>
      <c r="O56" s="59">
        <f>BIN2DEC(K56)</f>
        <v>255</v>
      </c>
      <c r="P56" s="59"/>
      <c r="Q56" s="59"/>
      <c r="R56" s="85"/>
      <c r="S56" s="93" t="str">
        <f>CONCATENATE(S53,T53,U53,V53,W53,X53,Y53,Z53,)</f>
        <v>11111111</v>
      </c>
      <c r="T56" s="59"/>
      <c r="U56" s="59"/>
      <c r="V56" s="59"/>
      <c r="W56" s="59">
        <f>BIN2DEC(S56)</f>
        <v>255</v>
      </c>
      <c r="X56" s="59"/>
      <c r="Y56" s="59"/>
      <c r="Z56" s="85"/>
      <c r="AA56" s="59" t="str">
        <f>CONCATENATE(AA53,AB53,AC53,AD53,AE53,AF53,AG53,AH53,)</f>
        <v>11111111</v>
      </c>
      <c r="AB56" s="59"/>
      <c r="AC56" s="59"/>
      <c r="AD56" s="59"/>
      <c r="AE56" s="59">
        <f>BIN2DEC(AA56)</f>
        <v>255</v>
      </c>
      <c r="AF56" s="59"/>
      <c r="AG56" s="59"/>
      <c r="AH56" s="72"/>
      <c r="AI56" s="55"/>
    </row>
    <row r="57" spans="2:35">
      <c r="B57" s="99"/>
      <c r="C57" s="73" t="b">
        <f>AND(VariableLengthSubnetMaskCalc.!D52+2&lt;C59,VariableLengthSubnetMaskCalc.!D52+2&gt;D59)</f>
        <v>0</v>
      </c>
      <c r="D57" s="60" t="b">
        <f>AND(VariableLengthSubnetMaskCalc.!D52+2&lt;D59,VariableLengthSubnetMaskCalc.!D52+2&gt;E59)</f>
        <v>0</v>
      </c>
      <c r="E57" s="60" t="b">
        <f>AND(VariableLengthSubnetMaskCalc.!D52+2&lt;E59,VariableLengthSubnetMaskCalc.!D52+2&gt;F59)</f>
        <v>0</v>
      </c>
      <c r="F57" s="60" t="b">
        <f>AND(VariableLengthSubnetMaskCalc.!D52+2&lt;F59,VariableLengthSubnetMaskCalc.!D52+2&gt;G59)</f>
        <v>0</v>
      </c>
      <c r="G57" s="60" t="b">
        <f>AND(VariableLengthSubnetMaskCalc.!D52+2&lt;G59,VariableLengthSubnetMaskCalc.!D52+2&gt;H59)</f>
        <v>0</v>
      </c>
      <c r="H57" s="60" t="b">
        <f>AND(VariableLengthSubnetMaskCalc.!D52+2&lt;H59,VariableLengthSubnetMaskCalc.!D52+2&gt;I59)</f>
        <v>0</v>
      </c>
      <c r="I57" s="60" t="b">
        <f>AND(VariableLengthSubnetMaskCalc.!D52+2&lt;I59,VariableLengthSubnetMaskCalc.!D52+2&gt;J59)</f>
        <v>0</v>
      </c>
      <c r="J57" s="86" t="b">
        <f>AND(VariableLengthSubnetMaskCalc.!D52+2&lt;J59,VariableLengthSubnetMaskCalc.!D52+2&gt;K59)</f>
        <v>0</v>
      </c>
      <c r="K57" s="94" t="b">
        <f>AND(VariableLengthSubnetMaskCalc.!D52+2&lt;K59,VariableLengthSubnetMaskCalc.!D52+2&gt;L59)</f>
        <v>0</v>
      </c>
      <c r="L57" s="60" t="b">
        <f>AND(VariableLengthSubnetMaskCalc.!D52+2&lt;L59,VariableLengthSubnetMaskCalc.!D52+2&gt;M59)</f>
        <v>0</v>
      </c>
      <c r="M57" s="60" t="b">
        <f>AND(VariableLengthSubnetMaskCalc.!D52+2&lt;M59,VariableLengthSubnetMaskCalc.!D52+2&gt;N59)</f>
        <v>0</v>
      </c>
      <c r="N57" s="60" t="b">
        <f>AND(VariableLengthSubnetMaskCalc.!D52+2&lt;N59,VariableLengthSubnetMaskCalc.!D52+2&gt;O59)</f>
        <v>0</v>
      </c>
      <c r="O57" s="60" t="b">
        <f>AND(VariableLengthSubnetMaskCalc.!D52+2&lt;O59,VariableLengthSubnetMaskCalc.!D52+2&gt;P59)</f>
        <v>0</v>
      </c>
      <c r="P57" s="60" t="b">
        <f>AND(VariableLengthSubnetMaskCalc.!D52+2&lt;P59,VariableLengthSubnetMaskCalc.!D52+2&gt;Q59)</f>
        <v>0</v>
      </c>
      <c r="Q57" s="60" t="b">
        <f>AND(VariableLengthSubnetMaskCalc.!D52+2&lt;Q59,VariableLengthSubnetMaskCalc.!D52+2&gt;R59)</f>
        <v>0</v>
      </c>
      <c r="R57" s="86" t="b">
        <f>AND(VariableLengthSubnetMaskCalc.!D52+2&lt;R59,VariableLengthSubnetMaskCalc.!D52+2&gt;S59)</f>
        <v>0</v>
      </c>
      <c r="S57" s="94" t="b">
        <f>AND(VariableLengthSubnetMaskCalc.!D52+2&lt;S59,VariableLengthSubnetMaskCalc.!D52+2&gt;T59)</f>
        <v>0</v>
      </c>
      <c r="T57" s="60" t="b">
        <f>AND(VariableLengthSubnetMaskCalc.!D52+2&lt;T59,VariableLengthSubnetMaskCalc.!D52+2&gt;U59)</f>
        <v>0</v>
      </c>
      <c r="U57" s="60" t="b">
        <f>AND(VariableLengthSubnetMaskCalc.!D52+2&lt;U59,VariableLengthSubnetMaskCalc.!D52+2&gt;V59)</f>
        <v>0</v>
      </c>
      <c r="V57" s="60" t="b">
        <f>AND(VariableLengthSubnetMaskCalc.!D52+2&lt;V59,VariableLengthSubnetMaskCalc.!D52+2&gt;W59)</f>
        <v>0</v>
      </c>
      <c r="W57" s="60" t="b">
        <f>AND(VariableLengthSubnetMaskCalc.!D52+2&lt;W59,VariableLengthSubnetMaskCalc.!D52+2&gt;X59)</f>
        <v>0</v>
      </c>
      <c r="X57" s="60" t="b">
        <f>AND(VariableLengthSubnetMaskCalc.!D52+2&lt;X59,VariableLengthSubnetMaskCalc.!D52+2&gt;Y59)</f>
        <v>0</v>
      </c>
      <c r="Y57" s="60" t="b">
        <f>AND(VariableLengthSubnetMaskCalc.!D52+2&lt;Y59,VariableLengthSubnetMaskCalc.!D52+2&gt;Z59)</f>
        <v>0</v>
      </c>
      <c r="Z57" s="86" t="b">
        <f>AND(VariableLengthSubnetMaskCalc.!D52+2&lt;Z59,VariableLengthSubnetMaskCalc.!D52+2&gt;AA59)</f>
        <v>0</v>
      </c>
      <c r="AA57" s="60" t="b">
        <f>AND(VariableLengthSubnetMaskCalc.!D52+2&lt;AA59,VariableLengthSubnetMaskCalc.!D52+2&gt;AB59)</f>
        <v>0</v>
      </c>
      <c r="AB57" s="60" t="b">
        <f>AND(VariableLengthSubnetMaskCalc.!D52+2&lt;AB59,VariableLengthSubnetMaskCalc.!D52+2&gt;AC59)</f>
        <v>0</v>
      </c>
      <c r="AC57" s="60" t="b">
        <f>AND(VariableLengthSubnetMaskCalc.!D52+2&lt;AC59,VariableLengthSubnetMaskCalc.!D52+2&gt;AD59)</f>
        <v>0</v>
      </c>
      <c r="AD57" s="60" t="b">
        <f>AND(VariableLengthSubnetMaskCalc.!D52+2&lt;AD59,VariableLengthSubnetMaskCalc.!D52+2&gt;AE59)</f>
        <v>0</v>
      </c>
      <c r="AE57" s="60" t="b">
        <f>AND(VariableLengthSubnetMaskCalc.!D52+2&lt;AE59,VariableLengthSubnetMaskCalc.!D52+2&gt;AF59)</f>
        <v>0</v>
      </c>
      <c r="AF57" s="60" t="b">
        <f>AND(VariableLengthSubnetMaskCalc.!D52+2&lt;AF59,VariableLengthSubnetMaskCalc.!D52+2&gt;AG59)</f>
        <v>0</v>
      </c>
      <c r="AG57" s="60" t="b">
        <f>AND(VariableLengthSubnetMaskCalc.!D52+2&lt;AG59,VariableLengthSubnetMaskCalc.!D52+2&gt;AH59)</f>
        <v>0</v>
      </c>
      <c r="AH57" s="74" t="b">
        <f>AND(VariableLengthSubnetMaskCalc.!D52+2&lt;AH59,VariableLengthSubnetMaskCalc.!D52+2&gt;0)</f>
        <v>0</v>
      </c>
      <c r="AI57" s="55"/>
    </row>
    <row r="58" spans="2:35">
      <c r="B58" s="99"/>
      <c r="C58" s="75">
        <f>AA59</f>
        <v>128</v>
      </c>
      <c r="D58" s="61">
        <f>AB59</f>
        <v>64</v>
      </c>
      <c r="E58" s="61">
        <f>AC59</f>
        <v>32</v>
      </c>
      <c r="F58" s="61">
        <f>AD59</f>
        <v>16</v>
      </c>
      <c r="G58" s="61">
        <f>AE59</f>
        <v>8</v>
      </c>
      <c r="H58" s="61">
        <f>AF59</f>
        <v>4</v>
      </c>
      <c r="I58" s="61">
        <f>AG59</f>
        <v>2</v>
      </c>
      <c r="J58" s="87">
        <f>AH59</f>
        <v>1</v>
      </c>
      <c r="K58" s="95">
        <f>AA59</f>
        <v>128</v>
      </c>
      <c r="L58" s="61">
        <f>AB59</f>
        <v>64</v>
      </c>
      <c r="M58" s="61">
        <f>AC59</f>
        <v>32</v>
      </c>
      <c r="N58" s="61">
        <f>AD59</f>
        <v>16</v>
      </c>
      <c r="O58" s="61">
        <f>AE59</f>
        <v>8</v>
      </c>
      <c r="P58" s="61">
        <f>AF59</f>
        <v>4</v>
      </c>
      <c r="Q58" s="61">
        <f>AG59</f>
        <v>2</v>
      </c>
      <c r="R58" s="87">
        <f>AH59</f>
        <v>1</v>
      </c>
      <c r="S58" s="95">
        <f>AA59</f>
        <v>128</v>
      </c>
      <c r="T58" s="61">
        <f>AB59</f>
        <v>64</v>
      </c>
      <c r="U58" s="61">
        <f>AC59</f>
        <v>32</v>
      </c>
      <c r="V58" s="61">
        <f>AD59</f>
        <v>16</v>
      </c>
      <c r="W58" s="61">
        <f>AE59</f>
        <v>8</v>
      </c>
      <c r="X58" s="61">
        <f>AF59</f>
        <v>4</v>
      </c>
      <c r="Y58" s="61">
        <f>AG59</f>
        <v>2</v>
      </c>
      <c r="Z58" s="87">
        <f>AH59</f>
        <v>1</v>
      </c>
      <c r="AA58" s="61">
        <f>AA59</f>
        <v>128</v>
      </c>
      <c r="AB58" s="61">
        <f>AB59</f>
        <v>64</v>
      </c>
      <c r="AC58" s="61">
        <f>AC59</f>
        <v>32</v>
      </c>
      <c r="AD58" s="61">
        <f>AD59</f>
        <v>16</v>
      </c>
      <c r="AE58" s="61">
        <f>AE59</f>
        <v>8</v>
      </c>
      <c r="AF58" s="61">
        <f>AF59</f>
        <v>4</v>
      </c>
      <c r="AG58" s="61">
        <f>AG59</f>
        <v>2</v>
      </c>
      <c r="AH58" s="76">
        <f>AH59</f>
        <v>1</v>
      </c>
      <c r="AI58" s="55"/>
    </row>
    <row r="59" spans="2:35">
      <c r="B59" s="99"/>
      <c r="C59" s="75">
        <f>D59*2</f>
        <v>2147483648</v>
      </c>
      <c r="D59" s="61">
        <f>E59*2</f>
        <v>1073741824</v>
      </c>
      <c r="E59" s="61">
        <f>F59*2</f>
        <v>536870912</v>
      </c>
      <c r="F59" s="61">
        <f>G59*2</f>
        <v>268435456</v>
      </c>
      <c r="G59" s="61">
        <f>H59*2</f>
        <v>134217728</v>
      </c>
      <c r="H59" s="61">
        <f>I59*2</f>
        <v>67108864</v>
      </c>
      <c r="I59" s="61">
        <f>J59*2</f>
        <v>33554432</v>
      </c>
      <c r="J59" s="87">
        <f>K59*2</f>
        <v>16777216</v>
      </c>
      <c r="K59" s="95">
        <f>L59*2</f>
        <v>8388608</v>
      </c>
      <c r="L59" s="61">
        <f>M59*2</f>
        <v>4194304</v>
      </c>
      <c r="M59" s="61">
        <f>N59*2</f>
        <v>2097152</v>
      </c>
      <c r="N59" s="61">
        <f>O59*2</f>
        <v>1048576</v>
      </c>
      <c r="O59" s="61">
        <f>P59*2</f>
        <v>524288</v>
      </c>
      <c r="P59" s="61">
        <f>Q59*2</f>
        <v>262144</v>
      </c>
      <c r="Q59" s="61">
        <f>R59*2</f>
        <v>131072</v>
      </c>
      <c r="R59" s="87">
        <f>S59*2</f>
        <v>65536</v>
      </c>
      <c r="S59" s="95">
        <f>T59*2</f>
        <v>32768</v>
      </c>
      <c r="T59" s="61">
        <f>U59*2</f>
        <v>16384</v>
      </c>
      <c r="U59" s="61">
        <f>V59*2</f>
        <v>8192</v>
      </c>
      <c r="V59" s="61">
        <f>W59*2</f>
        <v>4096</v>
      </c>
      <c r="W59" s="61">
        <f>X59*2</f>
        <v>2048</v>
      </c>
      <c r="X59" s="61">
        <f>Y59*2</f>
        <v>1024</v>
      </c>
      <c r="Y59" s="61">
        <f>Z59*2</f>
        <v>512</v>
      </c>
      <c r="Z59" s="87">
        <f>AA59*2</f>
        <v>256</v>
      </c>
      <c r="AA59" s="61">
        <f>AB59*2</f>
        <v>128</v>
      </c>
      <c r="AB59" s="61">
        <f>AC59*2</f>
        <v>64</v>
      </c>
      <c r="AC59" s="61">
        <f>AD59*2</f>
        <v>32</v>
      </c>
      <c r="AD59" s="61">
        <f>AE59*2</f>
        <v>16</v>
      </c>
      <c r="AE59" s="61">
        <f>AF59*2</f>
        <v>8</v>
      </c>
      <c r="AF59" s="61">
        <f>AG59*2</f>
        <v>4</v>
      </c>
      <c r="AG59" s="61">
        <f>AH59*2</f>
        <v>2</v>
      </c>
      <c r="AH59" s="76">
        <v>1</v>
      </c>
      <c r="AI59" s="55"/>
    </row>
    <row r="60" spans="2:35">
      <c r="B60" s="99"/>
      <c r="C60" s="77">
        <f>C50+1</f>
        <v>6</v>
      </c>
      <c r="D60" s="62"/>
      <c r="E60" s="62"/>
      <c r="F60" s="62"/>
      <c r="G60" s="62" t="str">
        <f>CONCATENATE(C60,"th")</f>
        <v>6th</v>
      </c>
      <c r="H60" s="62"/>
      <c r="I60" s="62"/>
      <c r="J60" s="88"/>
      <c r="K60" s="92"/>
      <c r="L60" s="58"/>
      <c r="M60" s="58"/>
      <c r="N60" s="58"/>
      <c r="O60" s="58"/>
      <c r="P60" s="58"/>
      <c r="Q60" s="58"/>
      <c r="R60" s="84"/>
      <c r="S60" s="92"/>
      <c r="T60" s="58"/>
      <c r="U60" s="58"/>
      <c r="V60" s="58"/>
      <c r="W60" s="58"/>
      <c r="X60" s="58"/>
      <c r="Y60" s="58"/>
      <c r="Z60" s="84"/>
      <c r="AA60" s="58"/>
      <c r="AB60" s="58"/>
      <c r="AC60" s="58"/>
      <c r="AD60" s="58"/>
      <c r="AE60" s="58"/>
      <c r="AF60" s="58"/>
      <c r="AG60" s="58"/>
      <c r="AH60" s="70"/>
      <c r="AI60" s="55"/>
    </row>
    <row r="61" spans="2:35" ht="15.75" thickBot="1">
      <c r="B61" s="100"/>
      <c r="C61" s="78" t="str">
        <f>IF(OR(VariableLengthSubnetMaskCalc.!$D$2="",VariableLengthSubnetMaskCalc.!$D$12="",VariableLengthSubnetMaskCalc.!$D$22="",VariableLengthSubnetMaskCalc.!$D$32="",VariableLengthSubnetMaskCalc.!$D$42="",VariableLengthSubnetMaskCalc.!$D$52=""),"",VariableLengthSubnetMaskCalc.!D52)</f>
        <v/>
      </c>
      <c r="D61" s="79"/>
      <c r="E61" s="79"/>
      <c r="F61" s="79"/>
      <c r="G61" s="79"/>
      <c r="H61" s="79"/>
      <c r="I61" s="79"/>
      <c r="J61" s="89"/>
      <c r="K61" s="96"/>
      <c r="L61" s="80"/>
      <c r="M61" s="80"/>
      <c r="N61" s="80"/>
      <c r="O61" s="80"/>
      <c r="P61" s="80"/>
      <c r="Q61" s="80"/>
      <c r="R61" s="97"/>
      <c r="S61" s="96"/>
      <c r="T61" s="80"/>
      <c r="U61" s="80"/>
      <c r="V61" s="80"/>
      <c r="W61" s="80"/>
      <c r="X61" s="80"/>
      <c r="Y61" s="80"/>
      <c r="Z61" s="97"/>
      <c r="AA61" s="80"/>
      <c r="AB61" s="80"/>
      <c r="AC61" s="80"/>
      <c r="AD61" s="80"/>
      <c r="AE61" s="80"/>
      <c r="AF61" s="80"/>
      <c r="AG61" s="80"/>
      <c r="AH61" s="81"/>
      <c r="AI61" s="55"/>
    </row>
    <row r="62" spans="2:35" ht="15" customHeight="1">
      <c r="B62" s="98" t="str">
        <f>VariableLengthSubnetMaskCalc.!B62</f>
        <v>7th
Network</v>
      </c>
      <c r="C62" s="64">
        <f>IF(VariableLengthSubnetMaskCalc.!D63&gt;C69,0,1)</f>
        <v>0</v>
      </c>
      <c r="D62" s="65">
        <f>IF(VariableLengthSubnetMaskCalc.!D63&gt;D69,0,1)</f>
        <v>0</v>
      </c>
      <c r="E62" s="65">
        <f>IF(VariableLengthSubnetMaskCalc.!D63&gt;E69,0,1)</f>
        <v>0</v>
      </c>
      <c r="F62" s="65">
        <f>IF(VariableLengthSubnetMaskCalc.!D63&gt;F69,0,1)</f>
        <v>0</v>
      </c>
      <c r="G62" s="65">
        <f>IF(VariableLengthSubnetMaskCalc.!D63&gt;G69,0,1)</f>
        <v>0</v>
      </c>
      <c r="H62" s="65">
        <f>IF(VariableLengthSubnetMaskCalc.!D63&gt;H69,0,1)</f>
        <v>0</v>
      </c>
      <c r="I62" s="65">
        <f>IF(VariableLengthSubnetMaskCalc.!D63&gt;I69,0,1)</f>
        <v>0</v>
      </c>
      <c r="J62" s="82">
        <f>IF(VariableLengthSubnetMaskCalc.!D63&gt;J69,0,1)</f>
        <v>0</v>
      </c>
      <c r="K62" s="90">
        <f>IF(VariableLengthSubnetMaskCalc.!D63&gt;K69,0,1)</f>
        <v>0</v>
      </c>
      <c r="L62" s="65">
        <f>IF(VariableLengthSubnetMaskCalc.!D63&gt;L69,0,1)</f>
        <v>0</v>
      </c>
      <c r="M62" s="65">
        <f>IF(VariableLengthSubnetMaskCalc.!D63&gt;M69,0,1)</f>
        <v>0</v>
      </c>
      <c r="N62" s="65">
        <f>IF(VariableLengthSubnetMaskCalc.!D63&gt;N69,0,1)</f>
        <v>0</v>
      </c>
      <c r="O62" s="65">
        <f>IF(VariableLengthSubnetMaskCalc.!D63&gt;O69,0,1)</f>
        <v>0</v>
      </c>
      <c r="P62" s="65">
        <f>IF(VariableLengthSubnetMaskCalc.!D63&gt;P69,0,1)</f>
        <v>0</v>
      </c>
      <c r="Q62" s="65">
        <f>IF(VariableLengthSubnetMaskCalc.!D63&gt;Q69,0,1)</f>
        <v>0</v>
      </c>
      <c r="R62" s="82">
        <f>IF(VariableLengthSubnetMaskCalc.!D63&gt;R69,0,1)</f>
        <v>0</v>
      </c>
      <c r="S62" s="90">
        <f>IF(VariableLengthSubnetMaskCalc.!D63&gt;S69,0,1)</f>
        <v>0</v>
      </c>
      <c r="T62" s="65">
        <f>IF(VariableLengthSubnetMaskCalc.!D63&gt;T69,0,1)</f>
        <v>0</v>
      </c>
      <c r="U62" s="65">
        <f>IF(VariableLengthSubnetMaskCalc.!D63&gt;U69,0,1)</f>
        <v>0</v>
      </c>
      <c r="V62" s="65">
        <f>IF(VariableLengthSubnetMaskCalc.!D63&gt;V69,0,1)</f>
        <v>0</v>
      </c>
      <c r="W62" s="65">
        <f>IF(VariableLengthSubnetMaskCalc.!D63&gt;W69,0,1)</f>
        <v>0</v>
      </c>
      <c r="X62" s="65">
        <f>IF(VariableLengthSubnetMaskCalc.!D63&gt;X69,0,1)</f>
        <v>0</v>
      </c>
      <c r="Y62" s="65">
        <f>IF(VariableLengthSubnetMaskCalc.!D63&gt;Y69,0,1)</f>
        <v>0</v>
      </c>
      <c r="Z62" s="82">
        <f>IF(VariableLengthSubnetMaskCalc.!D63&gt;Z69,0,1)</f>
        <v>0</v>
      </c>
      <c r="AA62" s="65">
        <f>IF(VariableLengthSubnetMaskCalc.!D63&gt;AA69,0,1)</f>
        <v>0</v>
      </c>
      <c r="AB62" s="65">
        <f>IF(VariableLengthSubnetMaskCalc.!D63&gt;AB69,0,1)</f>
        <v>0</v>
      </c>
      <c r="AC62" s="65">
        <f>IF(VariableLengthSubnetMaskCalc.!D63&gt;AC69,0,1)</f>
        <v>0</v>
      </c>
      <c r="AD62" s="65">
        <f>IF(VariableLengthSubnetMaskCalc.!D63&gt;AD69,0,1)</f>
        <v>0</v>
      </c>
      <c r="AE62" s="65">
        <f>IF(VariableLengthSubnetMaskCalc.!D63&gt;AE69,0,1)</f>
        <v>0</v>
      </c>
      <c r="AF62" s="65">
        <f>IF(VariableLengthSubnetMaskCalc.!D63&gt;AF69,0,1)</f>
        <v>0</v>
      </c>
      <c r="AG62" s="65">
        <f>IF(VariableLengthSubnetMaskCalc.!D63&gt;AG69,0,1)</f>
        <v>0</v>
      </c>
      <c r="AH62" s="66">
        <f>IF(VariableLengthSubnetMaskCalc.!D63&gt;AH69,0,1)</f>
        <v>0</v>
      </c>
      <c r="AI62" s="55"/>
    </row>
    <row r="63" spans="2:35">
      <c r="B63" s="99"/>
      <c r="C63" s="67">
        <f>IF(C62=1,0,1)</f>
        <v>1</v>
      </c>
      <c r="D63" s="57">
        <f>IF(D62=1,0,1)</f>
        <v>1</v>
      </c>
      <c r="E63" s="57">
        <f>IF(E62=1,0,1)</f>
        <v>1</v>
      </c>
      <c r="F63" s="57">
        <f>IF(F62=1,0,1)</f>
        <v>1</v>
      </c>
      <c r="G63" s="57">
        <f>IF(G62=1,0,1)</f>
        <v>1</v>
      </c>
      <c r="H63" s="57">
        <f>IF(H62=1,0,1)</f>
        <v>1</v>
      </c>
      <c r="I63" s="57">
        <f>IF(I62=1,0,1)</f>
        <v>1</v>
      </c>
      <c r="J63" s="83">
        <f>IF(J62=1,0,1)</f>
        <v>1</v>
      </c>
      <c r="K63" s="91">
        <f>IF(K62=1,0,1)</f>
        <v>1</v>
      </c>
      <c r="L63" s="57">
        <f>IF(L62=1,0,1)</f>
        <v>1</v>
      </c>
      <c r="M63" s="57">
        <f>IF(M62=1,0,1)</f>
        <v>1</v>
      </c>
      <c r="N63" s="57">
        <f>IF(N62=1,0,1)</f>
        <v>1</v>
      </c>
      <c r="O63" s="57">
        <f>IF(O62=1,0,1)</f>
        <v>1</v>
      </c>
      <c r="P63" s="57">
        <f>IF(P62=1,0,1)</f>
        <v>1</v>
      </c>
      <c r="Q63" s="57">
        <f>IF(Q62=1,0,1)</f>
        <v>1</v>
      </c>
      <c r="R63" s="83">
        <f>IF(R62=1,0,1)</f>
        <v>1</v>
      </c>
      <c r="S63" s="91">
        <f>IF(S62=1,0,1)</f>
        <v>1</v>
      </c>
      <c r="T63" s="57">
        <f>IF(T62=1,0,1)</f>
        <v>1</v>
      </c>
      <c r="U63" s="57">
        <f>IF(U62=1,0,1)</f>
        <v>1</v>
      </c>
      <c r="V63" s="57">
        <f>IF(V62=1,0,1)</f>
        <v>1</v>
      </c>
      <c r="W63" s="57">
        <f>IF(W62=1,0,1)</f>
        <v>1</v>
      </c>
      <c r="X63" s="57">
        <f>IF(X62=1,0,1)</f>
        <v>1</v>
      </c>
      <c r="Y63" s="57">
        <f>IF(Y62=1,0,1)</f>
        <v>1</v>
      </c>
      <c r="Z63" s="83">
        <f>IF(Z62=1,0,1)</f>
        <v>1</v>
      </c>
      <c r="AA63" s="57">
        <f>IF(AA62=1,0,1)</f>
        <v>1</v>
      </c>
      <c r="AB63" s="57">
        <f>IF(AB62=1,0,1)</f>
        <v>1</v>
      </c>
      <c r="AC63" s="57">
        <f>IF(AC62=1,0,1)</f>
        <v>1</v>
      </c>
      <c r="AD63" s="57">
        <f>IF(AD62=1,0,1)</f>
        <v>1</v>
      </c>
      <c r="AE63" s="57">
        <f>IF(AE62=1,0,1)</f>
        <v>1</v>
      </c>
      <c r="AF63" s="57">
        <f>IF(AF62=1,0,1)</f>
        <v>1</v>
      </c>
      <c r="AG63" s="57">
        <f>IF(AG62=1,0,1)</f>
        <v>1</v>
      </c>
      <c r="AH63" s="68">
        <f>IF(AH62=1,0,1)</f>
        <v>1</v>
      </c>
      <c r="AI63" s="55"/>
    </row>
    <row r="64" spans="2:35">
      <c r="B64" s="99"/>
      <c r="C64" s="69"/>
      <c r="D64" s="58"/>
      <c r="E64" s="58"/>
      <c r="F64" s="58"/>
      <c r="G64" s="58"/>
      <c r="H64" s="58"/>
      <c r="I64" s="58"/>
      <c r="J64" s="84"/>
      <c r="K64" s="92"/>
      <c r="L64" s="58"/>
      <c r="M64" s="58"/>
      <c r="N64" s="58"/>
      <c r="O64" s="58"/>
      <c r="P64" s="58"/>
      <c r="Q64" s="58"/>
      <c r="R64" s="84"/>
      <c r="S64" s="92"/>
      <c r="T64" s="58"/>
      <c r="U64" s="58"/>
      <c r="V64" s="58"/>
      <c r="W64" s="58"/>
      <c r="X64" s="58"/>
      <c r="Y64" s="58"/>
      <c r="Z64" s="84"/>
      <c r="AA64" s="58"/>
      <c r="AB64" s="58"/>
      <c r="AC64" s="58"/>
      <c r="AD64" s="58"/>
      <c r="AE64" s="58"/>
      <c r="AF64" s="58"/>
      <c r="AG64" s="58"/>
      <c r="AH64" s="70"/>
      <c r="AI64" s="55"/>
    </row>
    <row r="65" spans="2:35">
      <c r="B65" s="99"/>
      <c r="C65" s="71" t="str">
        <f>CONCATENATE(C62,D62,E62,F62,G62,H62,I62,J62)</f>
        <v>00000000</v>
      </c>
      <c r="D65" s="59"/>
      <c r="E65" s="59"/>
      <c r="F65" s="59"/>
      <c r="G65" s="59">
        <f>BIN2DEC(C65)</f>
        <v>0</v>
      </c>
      <c r="H65" s="59"/>
      <c r="I65" s="59"/>
      <c r="J65" s="85"/>
      <c r="K65" s="93" t="str">
        <f>CONCATENATE(K62,L62,M62,N62,O62,P62,Q62,R62)</f>
        <v>00000000</v>
      </c>
      <c r="L65" s="59"/>
      <c r="M65" s="59"/>
      <c r="N65" s="59"/>
      <c r="O65" s="59">
        <f>BIN2DEC(K65)</f>
        <v>0</v>
      </c>
      <c r="P65" s="59"/>
      <c r="Q65" s="59"/>
      <c r="R65" s="85"/>
      <c r="S65" s="93" t="str">
        <f>CONCATENATE(S62,T62,U62,V62,W62,X62,Y62,Z62)</f>
        <v>00000000</v>
      </c>
      <c r="T65" s="59"/>
      <c r="U65" s="59"/>
      <c r="V65" s="59"/>
      <c r="W65" s="59">
        <f>BIN2DEC(S65)</f>
        <v>0</v>
      </c>
      <c r="X65" s="59"/>
      <c r="Y65" s="59"/>
      <c r="Z65" s="85"/>
      <c r="AA65" s="59" t="str">
        <f>CONCATENATE(AA62,AB62,AC62,AD62,AE62,AF62,AG62,AH62)</f>
        <v>00000000</v>
      </c>
      <c r="AB65" s="59"/>
      <c r="AC65" s="59"/>
      <c r="AD65" s="59"/>
      <c r="AE65" s="59">
        <f>BIN2DEC(AA65)</f>
        <v>0</v>
      </c>
      <c r="AF65" s="59"/>
      <c r="AG65" s="59"/>
      <c r="AH65" s="72"/>
      <c r="AI65" s="55"/>
    </row>
    <row r="66" spans="2:35">
      <c r="B66" s="99"/>
      <c r="C66" s="71" t="str">
        <f>CONCATENATE(C63,D63,E63,F63,G63,H63,I63,J63,)</f>
        <v>11111111</v>
      </c>
      <c r="D66" s="59"/>
      <c r="E66" s="59"/>
      <c r="F66" s="59"/>
      <c r="G66" s="59">
        <f>BIN2DEC(C66)</f>
        <v>255</v>
      </c>
      <c r="H66" s="59"/>
      <c r="I66" s="59"/>
      <c r="J66" s="85"/>
      <c r="K66" s="93" t="str">
        <f>CONCATENATE(K63,L63,M63,N63,O63,P63,Q63,R63,)</f>
        <v>11111111</v>
      </c>
      <c r="L66" s="59"/>
      <c r="M66" s="59"/>
      <c r="N66" s="59"/>
      <c r="O66" s="59">
        <f>BIN2DEC(K66)</f>
        <v>255</v>
      </c>
      <c r="P66" s="59"/>
      <c r="Q66" s="59"/>
      <c r="R66" s="85"/>
      <c r="S66" s="93" t="str">
        <f>CONCATENATE(S63,T63,U63,V63,W63,X63,Y63,Z63,)</f>
        <v>11111111</v>
      </c>
      <c r="T66" s="59"/>
      <c r="U66" s="59"/>
      <c r="V66" s="59"/>
      <c r="W66" s="59">
        <f>BIN2DEC(S66)</f>
        <v>255</v>
      </c>
      <c r="X66" s="59"/>
      <c r="Y66" s="59"/>
      <c r="Z66" s="85"/>
      <c r="AA66" s="59" t="str">
        <f>CONCATENATE(AA63,AB63,AC63,AD63,AE63,AF63,AG63,AH63,)</f>
        <v>11111111</v>
      </c>
      <c r="AB66" s="59"/>
      <c r="AC66" s="59"/>
      <c r="AD66" s="59"/>
      <c r="AE66" s="59">
        <f>BIN2DEC(AA66)</f>
        <v>255</v>
      </c>
      <c r="AF66" s="59"/>
      <c r="AG66" s="59"/>
      <c r="AH66" s="72"/>
      <c r="AI66" s="55"/>
    </row>
    <row r="67" spans="2:35">
      <c r="B67" s="99"/>
      <c r="C67" s="73" t="b">
        <f>AND(VariableLengthSubnetMaskCalc.!D62+2&lt;C69,VariableLengthSubnetMaskCalc.!D62+2&gt;D69)</f>
        <v>0</v>
      </c>
      <c r="D67" s="60" t="b">
        <f>AND(VariableLengthSubnetMaskCalc.!D62+2&lt;D69,VariableLengthSubnetMaskCalc.!D62+2&gt;E69)</f>
        <v>0</v>
      </c>
      <c r="E67" s="60" t="b">
        <f>AND(VariableLengthSubnetMaskCalc.!D62+2&lt;E69,VariableLengthSubnetMaskCalc.!D62+2&gt;F69)</f>
        <v>0</v>
      </c>
      <c r="F67" s="60" t="b">
        <f>AND(VariableLengthSubnetMaskCalc.!D62+2&lt;F69,VariableLengthSubnetMaskCalc.!D62+2&gt;G69)</f>
        <v>0</v>
      </c>
      <c r="G67" s="60" t="b">
        <f>AND(VariableLengthSubnetMaskCalc.!D62+2&lt;G69,VariableLengthSubnetMaskCalc.!D62+2&gt;H69)</f>
        <v>0</v>
      </c>
      <c r="H67" s="60" t="b">
        <f>AND(VariableLengthSubnetMaskCalc.!D62+2&lt;H69,VariableLengthSubnetMaskCalc.!D62+2&gt;I69)</f>
        <v>0</v>
      </c>
      <c r="I67" s="60" t="b">
        <f>AND(VariableLengthSubnetMaskCalc.!D62+2&lt;I69,VariableLengthSubnetMaskCalc.!D62+2&gt;J69)</f>
        <v>0</v>
      </c>
      <c r="J67" s="86" t="b">
        <f>AND(VariableLengthSubnetMaskCalc.!D62+2&lt;J69,VariableLengthSubnetMaskCalc.!D62+2&gt;K69)</f>
        <v>0</v>
      </c>
      <c r="K67" s="94" t="b">
        <f>AND(VariableLengthSubnetMaskCalc.!D62+2&lt;K69,VariableLengthSubnetMaskCalc.!D62+2&gt;L69)</f>
        <v>0</v>
      </c>
      <c r="L67" s="60" t="b">
        <f>AND(VariableLengthSubnetMaskCalc.!D62+2&lt;L69,VariableLengthSubnetMaskCalc.!D62+2&gt;M69)</f>
        <v>0</v>
      </c>
      <c r="M67" s="60" t="b">
        <f>AND(VariableLengthSubnetMaskCalc.!D62+2&lt;M69,VariableLengthSubnetMaskCalc.!D62+2&gt;N69)</f>
        <v>0</v>
      </c>
      <c r="N67" s="60" t="b">
        <f>AND(VariableLengthSubnetMaskCalc.!D62+2&lt;N69,VariableLengthSubnetMaskCalc.!D62+2&gt;O69)</f>
        <v>0</v>
      </c>
      <c r="O67" s="60" t="b">
        <f>AND(VariableLengthSubnetMaskCalc.!D62+2&lt;O69,VariableLengthSubnetMaskCalc.!D62+2&gt;P69)</f>
        <v>0</v>
      </c>
      <c r="P67" s="60" t="b">
        <f>AND(VariableLengthSubnetMaskCalc.!D62+2&lt;P69,VariableLengthSubnetMaskCalc.!D62+2&gt;Q69)</f>
        <v>0</v>
      </c>
      <c r="Q67" s="60" t="b">
        <f>AND(VariableLengthSubnetMaskCalc.!D62+2&lt;Q69,VariableLengthSubnetMaskCalc.!D62+2&gt;R69)</f>
        <v>0</v>
      </c>
      <c r="R67" s="86" t="b">
        <f>AND(VariableLengthSubnetMaskCalc.!D62+2&lt;R69,VariableLengthSubnetMaskCalc.!D62+2&gt;S69)</f>
        <v>0</v>
      </c>
      <c r="S67" s="94" t="b">
        <f>AND(VariableLengthSubnetMaskCalc.!D62+2&lt;S69,VariableLengthSubnetMaskCalc.!D62+2&gt;T69)</f>
        <v>0</v>
      </c>
      <c r="T67" s="60" t="b">
        <f>AND(VariableLengthSubnetMaskCalc.!D62+2&lt;T69,VariableLengthSubnetMaskCalc.!D62+2&gt;U69)</f>
        <v>0</v>
      </c>
      <c r="U67" s="60" t="b">
        <f>AND(VariableLengthSubnetMaskCalc.!D62+2&lt;U69,VariableLengthSubnetMaskCalc.!D62+2&gt;V69)</f>
        <v>0</v>
      </c>
      <c r="V67" s="60" t="b">
        <f>AND(VariableLengthSubnetMaskCalc.!D62+2&lt;V69,VariableLengthSubnetMaskCalc.!D62+2&gt;W69)</f>
        <v>0</v>
      </c>
      <c r="W67" s="60" t="b">
        <f>AND(VariableLengthSubnetMaskCalc.!D62+2&lt;W69,VariableLengthSubnetMaskCalc.!D62+2&gt;X69)</f>
        <v>0</v>
      </c>
      <c r="X67" s="60" t="b">
        <f>AND(VariableLengthSubnetMaskCalc.!D62+2&lt;X69,VariableLengthSubnetMaskCalc.!D62+2&gt;Y69)</f>
        <v>0</v>
      </c>
      <c r="Y67" s="60" t="b">
        <f>AND(VariableLengthSubnetMaskCalc.!D62+2&lt;Y69,VariableLengthSubnetMaskCalc.!D62+2&gt;Z69)</f>
        <v>0</v>
      </c>
      <c r="Z67" s="86" t="b">
        <f>AND(VariableLengthSubnetMaskCalc.!D62+2&lt;Z69,VariableLengthSubnetMaskCalc.!D62+2&gt;AA69)</f>
        <v>0</v>
      </c>
      <c r="AA67" s="60" t="b">
        <f>AND(VariableLengthSubnetMaskCalc.!D62+2&lt;AA69,VariableLengthSubnetMaskCalc.!D62+2&gt;AB69)</f>
        <v>0</v>
      </c>
      <c r="AB67" s="60" t="b">
        <f>AND(VariableLengthSubnetMaskCalc.!D62+2&lt;AB69,VariableLengthSubnetMaskCalc.!D62+2&gt;AC69)</f>
        <v>0</v>
      </c>
      <c r="AC67" s="60" t="b">
        <f>AND(VariableLengthSubnetMaskCalc.!D62+2&lt;AC69,VariableLengthSubnetMaskCalc.!D62+2&gt;AD69)</f>
        <v>0</v>
      </c>
      <c r="AD67" s="60" t="b">
        <f>AND(VariableLengthSubnetMaskCalc.!D62+2&lt;AD69,VariableLengthSubnetMaskCalc.!D62+2&gt;AE69)</f>
        <v>0</v>
      </c>
      <c r="AE67" s="60" t="b">
        <f>AND(VariableLengthSubnetMaskCalc.!D62+2&lt;AE69,VariableLengthSubnetMaskCalc.!D62+2&gt;AF69)</f>
        <v>0</v>
      </c>
      <c r="AF67" s="60" t="b">
        <f>AND(VariableLengthSubnetMaskCalc.!D62+2&lt;AF69,VariableLengthSubnetMaskCalc.!D62+2&gt;AG69)</f>
        <v>0</v>
      </c>
      <c r="AG67" s="60" t="b">
        <f>AND(VariableLengthSubnetMaskCalc.!D62+2&lt;AG69,VariableLengthSubnetMaskCalc.!D62+2&gt;AH69)</f>
        <v>0</v>
      </c>
      <c r="AH67" s="74" t="b">
        <f>AND(VariableLengthSubnetMaskCalc.!D62+2&lt;AH69,VariableLengthSubnetMaskCalc.!D62+2&gt;0)</f>
        <v>0</v>
      </c>
      <c r="AI67" s="55"/>
    </row>
    <row r="68" spans="2:35">
      <c r="B68" s="99"/>
      <c r="C68" s="75">
        <f>AA69</f>
        <v>128</v>
      </c>
      <c r="D68" s="61">
        <f>AB69</f>
        <v>64</v>
      </c>
      <c r="E68" s="61">
        <f>AC69</f>
        <v>32</v>
      </c>
      <c r="F68" s="61">
        <f>AD69</f>
        <v>16</v>
      </c>
      <c r="G68" s="61">
        <f>AE69</f>
        <v>8</v>
      </c>
      <c r="H68" s="61">
        <f>AF69</f>
        <v>4</v>
      </c>
      <c r="I68" s="61">
        <f>AG69</f>
        <v>2</v>
      </c>
      <c r="J68" s="87">
        <f>AH69</f>
        <v>1</v>
      </c>
      <c r="K68" s="95">
        <f>AA69</f>
        <v>128</v>
      </c>
      <c r="L68" s="61">
        <f>AB69</f>
        <v>64</v>
      </c>
      <c r="M68" s="61">
        <f>AC69</f>
        <v>32</v>
      </c>
      <c r="N68" s="61">
        <f>AD69</f>
        <v>16</v>
      </c>
      <c r="O68" s="61">
        <f>AE69</f>
        <v>8</v>
      </c>
      <c r="P68" s="61">
        <f>AF69</f>
        <v>4</v>
      </c>
      <c r="Q68" s="61">
        <f>AG69</f>
        <v>2</v>
      </c>
      <c r="R68" s="87">
        <f>AH69</f>
        <v>1</v>
      </c>
      <c r="S68" s="95">
        <f>AA69</f>
        <v>128</v>
      </c>
      <c r="T68" s="61">
        <f>AB69</f>
        <v>64</v>
      </c>
      <c r="U68" s="61">
        <f>AC69</f>
        <v>32</v>
      </c>
      <c r="V68" s="61">
        <f>AD69</f>
        <v>16</v>
      </c>
      <c r="W68" s="61">
        <f>AE69</f>
        <v>8</v>
      </c>
      <c r="X68" s="61">
        <f>AF69</f>
        <v>4</v>
      </c>
      <c r="Y68" s="61">
        <f>AG69</f>
        <v>2</v>
      </c>
      <c r="Z68" s="87">
        <f>AH69</f>
        <v>1</v>
      </c>
      <c r="AA68" s="61">
        <f>AA69</f>
        <v>128</v>
      </c>
      <c r="AB68" s="61">
        <f>AB69</f>
        <v>64</v>
      </c>
      <c r="AC68" s="61">
        <f>AC69</f>
        <v>32</v>
      </c>
      <c r="AD68" s="61">
        <f>AD69</f>
        <v>16</v>
      </c>
      <c r="AE68" s="61">
        <f>AE69</f>
        <v>8</v>
      </c>
      <c r="AF68" s="61">
        <f>AF69</f>
        <v>4</v>
      </c>
      <c r="AG68" s="61">
        <f>AG69</f>
        <v>2</v>
      </c>
      <c r="AH68" s="76">
        <f>AH69</f>
        <v>1</v>
      </c>
      <c r="AI68" s="55"/>
    </row>
    <row r="69" spans="2:35">
      <c r="B69" s="99"/>
      <c r="C69" s="75">
        <f>D69*2</f>
        <v>2147483648</v>
      </c>
      <c r="D69" s="61">
        <f>E69*2</f>
        <v>1073741824</v>
      </c>
      <c r="E69" s="61">
        <f>F69*2</f>
        <v>536870912</v>
      </c>
      <c r="F69" s="61">
        <f>G69*2</f>
        <v>268435456</v>
      </c>
      <c r="G69" s="61">
        <f>H69*2</f>
        <v>134217728</v>
      </c>
      <c r="H69" s="61">
        <f>I69*2</f>
        <v>67108864</v>
      </c>
      <c r="I69" s="61">
        <f>J69*2</f>
        <v>33554432</v>
      </c>
      <c r="J69" s="87">
        <f>K69*2</f>
        <v>16777216</v>
      </c>
      <c r="K69" s="95">
        <f>L69*2</f>
        <v>8388608</v>
      </c>
      <c r="L69" s="61">
        <f>M69*2</f>
        <v>4194304</v>
      </c>
      <c r="M69" s="61">
        <f>N69*2</f>
        <v>2097152</v>
      </c>
      <c r="N69" s="61">
        <f>O69*2</f>
        <v>1048576</v>
      </c>
      <c r="O69" s="61">
        <f>P69*2</f>
        <v>524288</v>
      </c>
      <c r="P69" s="61">
        <f>Q69*2</f>
        <v>262144</v>
      </c>
      <c r="Q69" s="61">
        <f>R69*2</f>
        <v>131072</v>
      </c>
      <c r="R69" s="87">
        <f>S69*2</f>
        <v>65536</v>
      </c>
      <c r="S69" s="95">
        <f>T69*2</f>
        <v>32768</v>
      </c>
      <c r="T69" s="61">
        <f>U69*2</f>
        <v>16384</v>
      </c>
      <c r="U69" s="61">
        <f>V69*2</f>
        <v>8192</v>
      </c>
      <c r="V69" s="61">
        <f>W69*2</f>
        <v>4096</v>
      </c>
      <c r="W69" s="61">
        <f>X69*2</f>
        <v>2048</v>
      </c>
      <c r="X69" s="61">
        <f>Y69*2</f>
        <v>1024</v>
      </c>
      <c r="Y69" s="61">
        <f>Z69*2</f>
        <v>512</v>
      </c>
      <c r="Z69" s="87">
        <f>AA69*2</f>
        <v>256</v>
      </c>
      <c r="AA69" s="61">
        <f>AB69*2</f>
        <v>128</v>
      </c>
      <c r="AB69" s="61">
        <f>AC69*2</f>
        <v>64</v>
      </c>
      <c r="AC69" s="61">
        <f>AD69*2</f>
        <v>32</v>
      </c>
      <c r="AD69" s="61">
        <f>AE69*2</f>
        <v>16</v>
      </c>
      <c r="AE69" s="61">
        <f>AF69*2</f>
        <v>8</v>
      </c>
      <c r="AF69" s="61">
        <f>AG69*2</f>
        <v>4</v>
      </c>
      <c r="AG69" s="61">
        <f>AH69*2</f>
        <v>2</v>
      </c>
      <c r="AH69" s="76">
        <v>1</v>
      </c>
      <c r="AI69" s="55"/>
    </row>
    <row r="70" spans="2:35">
      <c r="B70" s="99"/>
      <c r="C70" s="77">
        <f>C60+1</f>
        <v>7</v>
      </c>
      <c r="D70" s="62"/>
      <c r="E70" s="62"/>
      <c r="F70" s="62"/>
      <c r="G70" s="62" t="str">
        <f>CONCATENATE(C70,"th")</f>
        <v>7th</v>
      </c>
      <c r="H70" s="62"/>
      <c r="I70" s="62"/>
      <c r="J70" s="88"/>
      <c r="K70" s="92"/>
      <c r="L70" s="58"/>
      <c r="M70" s="58"/>
      <c r="N70" s="58"/>
      <c r="O70" s="58"/>
      <c r="P70" s="58"/>
      <c r="Q70" s="58"/>
      <c r="R70" s="84"/>
      <c r="S70" s="92"/>
      <c r="T70" s="58"/>
      <c r="U70" s="58"/>
      <c r="V70" s="58"/>
      <c r="W70" s="58"/>
      <c r="X70" s="58"/>
      <c r="Y70" s="58"/>
      <c r="Z70" s="84"/>
      <c r="AA70" s="58"/>
      <c r="AB70" s="58"/>
      <c r="AC70" s="58"/>
      <c r="AD70" s="58"/>
      <c r="AE70" s="58"/>
      <c r="AF70" s="58"/>
      <c r="AG70" s="58"/>
      <c r="AH70" s="70"/>
      <c r="AI70" s="55"/>
    </row>
    <row r="71" spans="2:35" ht="15.75" thickBot="1">
      <c r="B71" s="100"/>
      <c r="C71" s="78" t="str">
        <f>IF(OR(VariableLengthSubnetMaskCalc.!$D$2="",VariableLengthSubnetMaskCalc.!$D$12="",VariableLengthSubnetMaskCalc.!$D$22="",VariableLengthSubnetMaskCalc.!$D$32="",VariableLengthSubnetMaskCalc.!$D$42="",VariableLengthSubnetMaskCalc.!$D$52="",VariableLengthSubnetMaskCalc.!$D$62=""),"",VariableLengthSubnetMaskCalc.!D62)</f>
        <v/>
      </c>
      <c r="D71" s="79"/>
      <c r="E71" s="79"/>
      <c r="F71" s="79"/>
      <c r="G71" s="79"/>
      <c r="H71" s="79"/>
      <c r="I71" s="79"/>
      <c r="J71" s="89"/>
      <c r="K71" s="96"/>
      <c r="L71" s="80"/>
      <c r="M71" s="80"/>
      <c r="N71" s="80"/>
      <c r="O71" s="80"/>
      <c r="P71" s="80"/>
      <c r="Q71" s="80"/>
      <c r="R71" s="97"/>
      <c r="S71" s="96"/>
      <c r="T71" s="80"/>
      <c r="U71" s="80"/>
      <c r="V71" s="80"/>
      <c r="W71" s="80"/>
      <c r="X71" s="80"/>
      <c r="Y71" s="80"/>
      <c r="Z71" s="97"/>
      <c r="AA71" s="80"/>
      <c r="AB71" s="80"/>
      <c r="AC71" s="80"/>
      <c r="AD71" s="80"/>
      <c r="AE71" s="80"/>
      <c r="AF71" s="80"/>
      <c r="AG71" s="80"/>
      <c r="AH71" s="81"/>
      <c r="AI71" s="55"/>
    </row>
    <row r="72" spans="2:35" ht="15" customHeight="1">
      <c r="B72" s="98" t="str">
        <f>VariableLengthSubnetMaskCalc.!B72</f>
        <v>8th
Network</v>
      </c>
      <c r="C72" s="64">
        <f>IF(VariableLengthSubnetMaskCalc.!D73&gt;C79,0,1)</f>
        <v>0</v>
      </c>
      <c r="D72" s="65">
        <f>IF(VariableLengthSubnetMaskCalc.!D73&gt;D79,0,1)</f>
        <v>0</v>
      </c>
      <c r="E72" s="65">
        <f>IF(VariableLengthSubnetMaskCalc.!D73&gt;E79,0,1)</f>
        <v>0</v>
      </c>
      <c r="F72" s="65">
        <f>IF(VariableLengthSubnetMaskCalc.!D73&gt;F79,0,1)</f>
        <v>0</v>
      </c>
      <c r="G72" s="65">
        <f>IF(VariableLengthSubnetMaskCalc.!D73&gt;G79,0,1)</f>
        <v>0</v>
      </c>
      <c r="H72" s="65">
        <f>IF(VariableLengthSubnetMaskCalc.!D73&gt;H79,0,1)</f>
        <v>0</v>
      </c>
      <c r="I72" s="65">
        <f>IF(VariableLengthSubnetMaskCalc.!D73&gt;I79,0,1)</f>
        <v>0</v>
      </c>
      <c r="J72" s="82">
        <f>IF(VariableLengthSubnetMaskCalc.!D73&gt;J79,0,1)</f>
        <v>0</v>
      </c>
      <c r="K72" s="90">
        <f>IF(VariableLengthSubnetMaskCalc.!D73&gt;K79,0,1)</f>
        <v>0</v>
      </c>
      <c r="L72" s="65">
        <f>IF(VariableLengthSubnetMaskCalc.!D73&gt;L79,0,1)</f>
        <v>0</v>
      </c>
      <c r="M72" s="65">
        <f>IF(VariableLengthSubnetMaskCalc.!D73&gt;M79,0,1)</f>
        <v>0</v>
      </c>
      <c r="N72" s="65">
        <f>IF(VariableLengthSubnetMaskCalc.!D73&gt;N79,0,1)</f>
        <v>0</v>
      </c>
      <c r="O72" s="65">
        <f>IF(VariableLengthSubnetMaskCalc.!D73&gt;O79,0,1)</f>
        <v>0</v>
      </c>
      <c r="P72" s="65">
        <f>IF(VariableLengthSubnetMaskCalc.!D73&gt;P79,0,1)</f>
        <v>0</v>
      </c>
      <c r="Q72" s="65">
        <f>IF(VariableLengthSubnetMaskCalc.!D73&gt;Q79,0,1)</f>
        <v>0</v>
      </c>
      <c r="R72" s="82">
        <f>IF(VariableLengthSubnetMaskCalc.!D73&gt;R79,0,1)</f>
        <v>0</v>
      </c>
      <c r="S72" s="90">
        <f>IF(VariableLengthSubnetMaskCalc.!D73&gt;S79,0,1)</f>
        <v>0</v>
      </c>
      <c r="T72" s="65">
        <f>IF(VariableLengthSubnetMaskCalc.!D73&gt;T79,0,1)</f>
        <v>0</v>
      </c>
      <c r="U72" s="65">
        <f>IF(VariableLengthSubnetMaskCalc.!D73&gt;U79,0,1)</f>
        <v>0</v>
      </c>
      <c r="V72" s="65">
        <f>IF(VariableLengthSubnetMaskCalc.!D73&gt;V79,0,1)</f>
        <v>0</v>
      </c>
      <c r="W72" s="65">
        <f>IF(VariableLengthSubnetMaskCalc.!D73&gt;W79,0,1)</f>
        <v>0</v>
      </c>
      <c r="X72" s="65">
        <f>IF(VariableLengthSubnetMaskCalc.!D73&gt;X79,0,1)</f>
        <v>0</v>
      </c>
      <c r="Y72" s="65">
        <f>IF(VariableLengthSubnetMaskCalc.!D73&gt;Y79,0,1)</f>
        <v>0</v>
      </c>
      <c r="Z72" s="82">
        <f>IF(VariableLengthSubnetMaskCalc.!D73&gt;Z79,0,1)</f>
        <v>0</v>
      </c>
      <c r="AA72" s="65">
        <f>IF(VariableLengthSubnetMaskCalc.!D73&gt;AA79,0,1)</f>
        <v>0</v>
      </c>
      <c r="AB72" s="65">
        <f>IF(VariableLengthSubnetMaskCalc.!D73&gt;AB79,0,1)</f>
        <v>0</v>
      </c>
      <c r="AC72" s="65">
        <f>IF(VariableLengthSubnetMaskCalc.!D73&gt;AC79,0,1)</f>
        <v>0</v>
      </c>
      <c r="AD72" s="65">
        <f>IF(VariableLengthSubnetMaskCalc.!D73&gt;AD79,0,1)</f>
        <v>0</v>
      </c>
      <c r="AE72" s="65">
        <f>IF(VariableLengthSubnetMaskCalc.!D73&gt;AE79,0,1)</f>
        <v>0</v>
      </c>
      <c r="AF72" s="65">
        <f>IF(VariableLengthSubnetMaskCalc.!D73&gt;AF79,0,1)</f>
        <v>0</v>
      </c>
      <c r="AG72" s="65">
        <f>IF(VariableLengthSubnetMaskCalc.!D73&gt;AG79,0,1)</f>
        <v>0</v>
      </c>
      <c r="AH72" s="66">
        <f>IF(VariableLengthSubnetMaskCalc.!D73&gt;AH79,0,1)</f>
        <v>0</v>
      </c>
      <c r="AI72" s="55"/>
    </row>
    <row r="73" spans="2:35">
      <c r="B73" s="99"/>
      <c r="C73" s="67">
        <f>IF(C72=1,0,1)</f>
        <v>1</v>
      </c>
      <c r="D73" s="57">
        <f>IF(D72=1,0,1)</f>
        <v>1</v>
      </c>
      <c r="E73" s="57">
        <f>IF(E72=1,0,1)</f>
        <v>1</v>
      </c>
      <c r="F73" s="57">
        <f>IF(F72=1,0,1)</f>
        <v>1</v>
      </c>
      <c r="G73" s="57">
        <f>IF(G72=1,0,1)</f>
        <v>1</v>
      </c>
      <c r="H73" s="57">
        <f>IF(H72=1,0,1)</f>
        <v>1</v>
      </c>
      <c r="I73" s="57">
        <f>IF(I72=1,0,1)</f>
        <v>1</v>
      </c>
      <c r="J73" s="83">
        <f>IF(J72=1,0,1)</f>
        <v>1</v>
      </c>
      <c r="K73" s="91">
        <f>IF(K72=1,0,1)</f>
        <v>1</v>
      </c>
      <c r="L73" s="57">
        <f>IF(L72=1,0,1)</f>
        <v>1</v>
      </c>
      <c r="M73" s="57">
        <f>IF(M72=1,0,1)</f>
        <v>1</v>
      </c>
      <c r="N73" s="57">
        <f>IF(N72=1,0,1)</f>
        <v>1</v>
      </c>
      <c r="O73" s="57">
        <f>IF(O72=1,0,1)</f>
        <v>1</v>
      </c>
      <c r="P73" s="57">
        <f>IF(P72=1,0,1)</f>
        <v>1</v>
      </c>
      <c r="Q73" s="57">
        <f>IF(Q72=1,0,1)</f>
        <v>1</v>
      </c>
      <c r="R73" s="83">
        <f>IF(R72=1,0,1)</f>
        <v>1</v>
      </c>
      <c r="S73" s="91">
        <f>IF(S72=1,0,1)</f>
        <v>1</v>
      </c>
      <c r="T73" s="57">
        <f>IF(T72=1,0,1)</f>
        <v>1</v>
      </c>
      <c r="U73" s="57">
        <f>IF(U72=1,0,1)</f>
        <v>1</v>
      </c>
      <c r="V73" s="57">
        <f>IF(V72=1,0,1)</f>
        <v>1</v>
      </c>
      <c r="W73" s="57">
        <f>IF(W72=1,0,1)</f>
        <v>1</v>
      </c>
      <c r="X73" s="57">
        <f>IF(X72=1,0,1)</f>
        <v>1</v>
      </c>
      <c r="Y73" s="57">
        <f>IF(Y72=1,0,1)</f>
        <v>1</v>
      </c>
      <c r="Z73" s="83">
        <f>IF(Z72=1,0,1)</f>
        <v>1</v>
      </c>
      <c r="AA73" s="57">
        <f>IF(AA72=1,0,1)</f>
        <v>1</v>
      </c>
      <c r="AB73" s="57">
        <f>IF(AB72=1,0,1)</f>
        <v>1</v>
      </c>
      <c r="AC73" s="57">
        <f>IF(AC72=1,0,1)</f>
        <v>1</v>
      </c>
      <c r="AD73" s="57">
        <f>IF(AD72=1,0,1)</f>
        <v>1</v>
      </c>
      <c r="AE73" s="57">
        <f>IF(AE72=1,0,1)</f>
        <v>1</v>
      </c>
      <c r="AF73" s="57">
        <f>IF(AF72=1,0,1)</f>
        <v>1</v>
      </c>
      <c r="AG73" s="57">
        <f>IF(AG72=1,0,1)</f>
        <v>1</v>
      </c>
      <c r="AH73" s="68">
        <f>IF(AH72=1,0,1)</f>
        <v>1</v>
      </c>
      <c r="AI73" s="55"/>
    </row>
    <row r="74" spans="2:35">
      <c r="B74" s="99"/>
      <c r="C74" s="69"/>
      <c r="D74" s="58"/>
      <c r="E74" s="58"/>
      <c r="F74" s="58"/>
      <c r="G74" s="58"/>
      <c r="H74" s="58"/>
      <c r="I74" s="58"/>
      <c r="J74" s="84"/>
      <c r="K74" s="92"/>
      <c r="L74" s="58"/>
      <c r="M74" s="58"/>
      <c r="N74" s="58"/>
      <c r="O74" s="58"/>
      <c r="P74" s="58"/>
      <c r="Q74" s="58"/>
      <c r="R74" s="84"/>
      <c r="S74" s="92"/>
      <c r="T74" s="58"/>
      <c r="U74" s="58"/>
      <c r="V74" s="58"/>
      <c r="W74" s="58"/>
      <c r="X74" s="58"/>
      <c r="Y74" s="58"/>
      <c r="Z74" s="84"/>
      <c r="AA74" s="58"/>
      <c r="AB74" s="58"/>
      <c r="AC74" s="58"/>
      <c r="AD74" s="58"/>
      <c r="AE74" s="58"/>
      <c r="AF74" s="58"/>
      <c r="AG74" s="58"/>
      <c r="AH74" s="70"/>
      <c r="AI74" s="55"/>
    </row>
    <row r="75" spans="2:35">
      <c r="B75" s="99"/>
      <c r="C75" s="71" t="str">
        <f>CONCATENATE(C72,D72,E72,F72,G72,H72,I72,J72)</f>
        <v>00000000</v>
      </c>
      <c r="D75" s="59"/>
      <c r="E75" s="59"/>
      <c r="F75" s="59"/>
      <c r="G75" s="59">
        <f>BIN2DEC(C75)</f>
        <v>0</v>
      </c>
      <c r="H75" s="59"/>
      <c r="I75" s="59"/>
      <c r="J75" s="85"/>
      <c r="K75" s="93" t="str">
        <f>CONCATENATE(K72,L72,M72,N72,O72,P72,Q72,R72)</f>
        <v>00000000</v>
      </c>
      <c r="L75" s="59"/>
      <c r="M75" s="59"/>
      <c r="N75" s="59"/>
      <c r="O75" s="59">
        <f>BIN2DEC(K75)</f>
        <v>0</v>
      </c>
      <c r="P75" s="59"/>
      <c r="Q75" s="59"/>
      <c r="R75" s="85"/>
      <c r="S75" s="93" t="str">
        <f>CONCATENATE(S72,T72,U72,V72,W72,X72,Y72,Z72)</f>
        <v>00000000</v>
      </c>
      <c r="T75" s="59"/>
      <c r="U75" s="59"/>
      <c r="V75" s="59"/>
      <c r="W75" s="59">
        <f>BIN2DEC(S75)</f>
        <v>0</v>
      </c>
      <c r="X75" s="59"/>
      <c r="Y75" s="59"/>
      <c r="Z75" s="85"/>
      <c r="AA75" s="59" t="str">
        <f>CONCATENATE(AA72,AB72,AC72,AD72,AE72,AF72,AG72,AH72)</f>
        <v>00000000</v>
      </c>
      <c r="AB75" s="59"/>
      <c r="AC75" s="59"/>
      <c r="AD75" s="59"/>
      <c r="AE75" s="59">
        <f>BIN2DEC(AA75)</f>
        <v>0</v>
      </c>
      <c r="AF75" s="59"/>
      <c r="AG75" s="59"/>
      <c r="AH75" s="72"/>
      <c r="AI75" s="55"/>
    </row>
    <row r="76" spans="2:35">
      <c r="B76" s="99"/>
      <c r="C76" s="71" t="str">
        <f>CONCATENATE(C73,D73,E73,F73,G73,H73,I73,J73,)</f>
        <v>11111111</v>
      </c>
      <c r="D76" s="59"/>
      <c r="E76" s="59"/>
      <c r="F76" s="59"/>
      <c r="G76" s="59">
        <f>BIN2DEC(C76)</f>
        <v>255</v>
      </c>
      <c r="H76" s="59"/>
      <c r="I76" s="59"/>
      <c r="J76" s="85"/>
      <c r="K76" s="93" t="str">
        <f>CONCATENATE(K73,L73,M73,N73,O73,P73,Q73,R73,)</f>
        <v>11111111</v>
      </c>
      <c r="L76" s="59"/>
      <c r="M76" s="59"/>
      <c r="N76" s="59"/>
      <c r="O76" s="59">
        <f>BIN2DEC(K76)</f>
        <v>255</v>
      </c>
      <c r="P76" s="59"/>
      <c r="Q76" s="59"/>
      <c r="R76" s="85"/>
      <c r="S76" s="93" t="str">
        <f>CONCATENATE(S73,T73,U73,V73,W73,X73,Y73,Z73,)</f>
        <v>11111111</v>
      </c>
      <c r="T76" s="59"/>
      <c r="U76" s="59"/>
      <c r="V76" s="59"/>
      <c r="W76" s="59">
        <f>BIN2DEC(S76)</f>
        <v>255</v>
      </c>
      <c r="X76" s="59"/>
      <c r="Y76" s="59"/>
      <c r="Z76" s="85"/>
      <c r="AA76" s="59" t="str">
        <f>CONCATENATE(AA73,AB73,AC73,AD73,AE73,AF73,AG73,AH73,)</f>
        <v>11111111</v>
      </c>
      <c r="AB76" s="59"/>
      <c r="AC76" s="59"/>
      <c r="AD76" s="59"/>
      <c r="AE76" s="59">
        <f>BIN2DEC(AA76)</f>
        <v>255</v>
      </c>
      <c r="AF76" s="59"/>
      <c r="AG76" s="59"/>
      <c r="AH76" s="72"/>
      <c r="AI76" s="55"/>
    </row>
    <row r="77" spans="2:35">
      <c r="B77" s="99"/>
      <c r="C77" s="73" t="b">
        <f>AND(VariableLengthSubnetMaskCalc.!D72+2&lt;C79,VariableLengthSubnetMaskCalc.!D72+2&gt;D79)</f>
        <v>0</v>
      </c>
      <c r="D77" s="60" t="b">
        <f>AND(VariableLengthSubnetMaskCalc.!D72+2&lt;D79,VariableLengthSubnetMaskCalc.!D72+2&gt;E79)</f>
        <v>0</v>
      </c>
      <c r="E77" s="60" t="b">
        <f>AND(VariableLengthSubnetMaskCalc.!D72+2&lt;E79,VariableLengthSubnetMaskCalc.!D72+2&gt;F79)</f>
        <v>0</v>
      </c>
      <c r="F77" s="60" t="b">
        <f>AND(VariableLengthSubnetMaskCalc.!D72+2&lt;F79,VariableLengthSubnetMaskCalc.!D72+2&gt;G79)</f>
        <v>0</v>
      </c>
      <c r="G77" s="60" t="b">
        <f>AND(VariableLengthSubnetMaskCalc.!D72+2&lt;G79,VariableLengthSubnetMaskCalc.!D72+2&gt;H79)</f>
        <v>0</v>
      </c>
      <c r="H77" s="60" t="b">
        <f>AND(VariableLengthSubnetMaskCalc.!D72+2&lt;H79,VariableLengthSubnetMaskCalc.!D72+2&gt;I79)</f>
        <v>0</v>
      </c>
      <c r="I77" s="60" t="b">
        <f>AND(VariableLengthSubnetMaskCalc.!D72+2&lt;I79,VariableLengthSubnetMaskCalc.!D72+2&gt;J79)</f>
        <v>0</v>
      </c>
      <c r="J77" s="86" t="b">
        <f>AND(VariableLengthSubnetMaskCalc.!D72+2&lt;J79,VariableLengthSubnetMaskCalc.!D72+2&gt;K79)</f>
        <v>0</v>
      </c>
      <c r="K77" s="94" t="b">
        <f>AND(VariableLengthSubnetMaskCalc.!D72+2&lt;K79,VariableLengthSubnetMaskCalc.!D72+2&gt;L79)</f>
        <v>0</v>
      </c>
      <c r="L77" s="60" t="b">
        <f>AND(VariableLengthSubnetMaskCalc.!D72+2&lt;L79,VariableLengthSubnetMaskCalc.!D72+2&gt;M79)</f>
        <v>0</v>
      </c>
      <c r="M77" s="60" t="b">
        <f>AND(VariableLengthSubnetMaskCalc.!D72+2&lt;M79,VariableLengthSubnetMaskCalc.!D72+2&gt;N79)</f>
        <v>0</v>
      </c>
      <c r="N77" s="60" t="b">
        <f>AND(VariableLengthSubnetMaskCalc.!D72+2&lt;N79,VariableLengthSubnetMaskCalc.!D72+2&gt;O79)</f>
        <v>0</v>
      </c>
      <c r="O77" s="60" t="b">
        <f>AND(VariableLengthSubnetMaskCalc.!D72+2&lt;O79,VariableLengthSubnetMaskCalc.!D72+2&gt;P79)</f>
        <v>0</v>
      </c>
      <c r="P77" s="60" t="b">
        <f>AND(VariableLengthSubnetMaskCalc.!D72+2&lt;P79,VariableLengthSubnetMaskCalc.!D72+2&gt;Q79)</f>
        <v>0</v>
      </c>
      <c r="Q77" s="60" t="b">
        <f>AND(VariableLengthSubnetMaskCalc.!D72+2&lt;Q79,VariableLengthSubnetMaskCalc.!D72+2&gt;R79)</f>
        <v>0</v>
      </c>
      <c r="R77" s="86" t="b">
        <f>AND(VariableLengthSubnetMaskCalc.!D72+2&lt;R79,VariableLengthSubnetMaskCalc.!D72+2&gt;S79)</f>
        <v>0</v>
      </c>
      <c r="S77" s="94" t="b">
        <f>AND(VariableLengthSubnetMaskCalc.!D72+2&lt;S79,VariableLengthSubnetMaskCalc.!D72+2&gt;T79)</f>
        <v>0</v>
      </c>
      <c r="T77" s="60" t="b">
        <f>AND(VariableLengthSubnetMaskCalc.!D72+2&lt;T79,VariableLengthSubnetMaskCalc.!D72+2&gt;U79)</f>
        <v>0</v>
      </c>
      <c r="U77" s="60" t="b">
        <f>AND(VariableLengthSubnetMaskCalc.!D72+2&lt;U79,VariableLengthSubnetMaskCalc.!D72+2&gt;V79)</f>
        <v>0</v>
      </c>
      <c r="V77" s="60" t="b">
        <f>AND(VariableLengthSubnetMaskCalc.!D72+2&lt;V79,VariableLengthSubnetMaskCalc.!D72+2&gt;W79)</f>
        <v>0</v>
      </c>
      <c r="W77" s="60" t="b">
        <f>AND(VariableLengthSubnetMaskCalc.!D72+2&lt;W79,VariableLengthSubnetMaskCalc.!D72+2&gt;X79)</f>
        <v>0</v>
      </c>
      <c r="X77" s="60" t="b">
        <f>AND(VariableLengthSubnetMaskCalc.!D72+2&lt;X79,VariableLengthSubnetMaskCalc.!D72+2&gt;Y79)</f>
        <v>0</v>
      </c>
      <c r="Y77" s="60" t="b">
        <f>AND(VariableLengthSubnetMaskCalc.!D72+2&lt;Y79,VariableLengthSubnetMaskCalc.!D72+2&gt;Z79)</f>
        <v>0</v>
      </c>
      <c r="Z77" s="86" t="b">
        <f>AND(VariableLengthSubnetMaskCalc.!D72+2&lt;Z79,VariableLengthSubnetMaskCalc.!D72+2&gt;AA79)</f>
        <v>0</v>
      </c>
      <c r="AA77" s="60" t="b">
        <f>AND(VariableLengthSubnetMaskCalc.!D72+2&lt;AA79,VariableLengthSubnetMaskCalc.!D72+2&gt;AB79)</f>
        <v>0</v>
      </c>
      <c r="AB77" s="60" t="b">
        <f>AND(VariableLengthSubnetMaskCalc.!D72+2&lt;AB79,VariableLengthSubnetMaskCalc.!D72+2&gt;AC79)</f>
        <v>0</v>
      </c>
      <c r="AC77" s="60" t="b">
        <f>AND(VariableLengthSubnetMaskCalc.!D72+2&lt;AC79,VariableLengthSubnetMaskCalc.!D72+2&gt;AD79)</f>
        <v>0</v>
      </c>
      <c r="AD77" s="60" t="b">
        <f>AND(VariableLengthSubnetMaskCalc.!D72+2&lt;AD79,VariableLengthSubnetMaskCalc.!D72+2&gt;AE79)</f>
        <v>0</v>
      </c>
      <c r="AE77" s="60" t="b">
        <f>AND(VariableLengthSubnetMaskCalc.!D72+2&lt;AE79,VariableLengthSubnetMaskCalc.!D72+2&gt;AF79)</f>
        <v>0</v>
      </c>
      <c r="AF77" s="60" t="b">
        <f>AND(VariableLengthSubnetMaskCalc.!D72+2&lt;AF79,VariableLengthSubnetMaskCalc.!D72+2&gt;AG79)</f>
        <v>0</v>
      </c>
      <c r="AG77" s="60" t="b">
        <f>AND(VariableLengthSubnetMaskCalc.!D72+2&lt;AG79,VariableLengthSubnetMaskCalc.!D72+2&gt;AH79)</f>
        <v>0</v>
      </c>
      <c r="AH77" s="74" t="b">
        <f>AND(VariableLengthSubnetMaskCalc.!D72+2&lt;AH79,VariableLengthSubnetMaskCalc.!D72+2&gt;0)</f>
        <v>0</v>
      </c>
      <c r="AI77" s="55"/>
    </row>
    <row r="78" spans="2:35">
      <c r="B78" s="99"/>
      <c r="C78" s="75">
        <f>AA79</f>
        <v>128</v>
      </c>
      <c r="D78" s="61">
        <f>AB79</f>
        <v>64</v>
      </c>
      <c r="E78" s="61">
        <f>AC79</f>
        <v>32</v>
      </c>
      <c r="F78" s="61">
        <f>AD79</f>
        <v>16</v>
      </c>
      <c r="G78" s="61">
        <f>AE79</f>
        <v>8</v>
      </c>
      <c r="H78" s="61">
        <f>AF79</f>
        <v>4</v>
      </c>
      <c r="I78" s="61">
        <f>AG79</f>
        <v>2</v>
      </c>
      <c r="J78" s="87">
        <f>AH79</f>
        <v>1</v>
      </c>
      <c r="K78" s="95">
        <f>AA79</f>
        <v>128</v>
      </c>
      <c r="L78" s="61">
        <f>AB79</f>
        <v>64</v>
      </c>
      <c r="M78" s="61">
        <f>AC79</f>
        <v>32</v>
      </c>
      <c r="N78" s="61">
        <f>AD79</f>
        <v>16</v>
      </c>
      <c r="O78" s="61">
        <f>AE79</f>
        <v>8</v>
      </c>
      <c r="P78" s="61">
        <f>AF79</f>
        <v>4</v>
      </c>
      <c r="Q78" s="61">
        <f>AG79</f>
        <v>2</v>
      </c>
      <c r="R78" s="87">
        <f>AH79</f>
        <v>1</v>
      </c>
      <c r="S78" s="95">
        <f>AA79</f>
        <v>128</v>
      </c>
      <c r="T78" s="61">
        <f>AB79</f>
        <v>64</v>
      </c>
      <c r="U78" s="61">
        <f>AC79</f>
        <v>32</v>
      </c>
      <c r="V78" s="61">
        <f>AD79</f>
        <v>16</v>
      </c>
      <c r="W78" s="61">
        <f>AE79</f>
        <v>8</v>
      </c>
      <c r="X78" s="61">
        <f>AF79</f>
        <v>4</v>
      </c>
      <c r="Y78" s="61">
        <f>AG79</f>
        <v>2</v>
      </c>
      <c r="Z78" s="87">
        <f>AH79</f>
        <v>1</v>
      </c>
      <c r="AA78" s="61">
        <f>AA79</f>
        <v>128</v>
      </c>
      <c r="AB78" s="61">
        <f>AB79</f>
        <v>64</v>
      </c>
      <c r="AC78" s="61">
        <f>AC79</f>
        <v>32</v>
      </c>
      <c r="AD78" s="61">
        <f>AD79</f>
        <v>16</v>
      </c>
      <c r="AE78" s="61">
        <f>AE79</f>
        <v>8</v>
      </c>
      <c r="AF78" s="61">
        <f>AF79</f>
        <v>4</v>
      </c>
      <c r="AG78" s="61">
        <f>AG79</f>
        <v>2</v>
      </c>
      <c r="AH78" s="76">
        <f>AH79</f>
        <v>1</v>
      </c>
      <c r="AI78" s="55"/>
    </row>
    <row r="79" spans="2:35">
      <c r="B79" s="99"/>
      <c r="C79" s="75">
        <f>D79*2</f>
        <v>2147483648</v>
      </c>
      <c r="D79" s="61">
        <f>E79*2</f>
        <v>1073741824</v>
      </c>
      <c r="E79" s="61">
        <f>F79*2</f>
        <v>536870912</v>
      </c>
      <c r="F79" s="61">
        <f>G79*2</f>
        <v>268435456</v>
      </c>
      <c r="G79" s="61">
        <f>H79*2</f>
        <v>134217728</v>
      </c>
      <c r="H79" s="61">
        <f>I79*2</f>
        <v>67108864</v>
      </c>
      <c r="I79" s="61">
        <f>J79*2</f>
        <v>33554432</v>
      </c>
      <c r="J79" s="87">
        <f>K79*2</f>
        <v>16777216</v>
      </c>
      <c r="K79" s="95">
        <f>L79*2</f>
        <v>8388608</v>
      </c>
      <c r="L79" s="61">
        <f>M79*2</f>
        <v>4194304</v>
      </c>
      <c r="M79" s="61">
        <f>N79*2</f>
        <v>2097152</v>
      </c>
      <c r="N79" s="61">
        <f>O79*2</f>
        <v>1048576</v>
      </c>
      <c r="O79" s="61">
        <f>P79*2</f>
        <v>524288</v>
      </c>
      <c r="P79" s="61">
        <f>Q79*2</f>
        <v>262144</v>
      </c>
      <c r="Q79" s="61">
        <f>R79*2</f>
        <v>131072</v>
      </c>
      <c r="R79" s="87">
        <f>S79*2</f>
        <v>65536</v>
      </c>
      <c r="S79" s="95">
        <f>T79*2</f>
        <v>32768</v>
      </c>
      <c r="T79" s="61">
        <f>U79*2</f>
        <v>16384</v>
      </c>
      <c r="U79" s="61">
        <f>V79*2</f>
        <v>8192</v>
      </c>
      <c r="V79" s="61">
        <f>W79*2</f>
        <v>4096</v>
      </c>
      <c r="W79" s="61">
        <f>X79*2</f>
        <v>2048</v>
      </c>
      <c r="X79" s="61">
        <f>Y79*2</f>
        <v>1024</v>
      </c>
      <c r="Y79" s="61">
        <f>Z79*2</f>
        <v>512</v>
      </c>
      <c r="Z79" s="87">
        <f>AA79*2</f>
        <v>256</v>
      </c>
      <c r="AA79" s="61">
        <f>AB79*2</f>
        <v>128</v>
      </c>
      <c r="AB79" s="61">
        <f>AC79*2</f>
        <v>64</v>
      </c>
      <c r="AC79" s="61">
        <f>AD79*2</f>
        <v>32</v>
      </c>
      <c r="AD79" s="61">
        <f>AE79*2</f>
        <v>16</v>
      </c>
      <c r="AE79" s="61">
        <f>AF79*2</f>
        <v>8</v>
      </c>
      <c r="AF79" s="61">
        <f>AG79*2</f>
        <v>4</v>
      </c>
      <c r="AG79" s="61">
        <f>AH79*2</f>
        <v>2</v>
      </c>
      <c r="AH79" s="76">
        <v>1</v>
      </c>
      <c r="AI79" s="55"/>
    </row>
    <row r="80" spans="2:35">
      <c r="B80" s="99"/>
      <c r="C80" s="77">
        <f>C70+1</f>
        <v>8</v>
      </c>
      <c r="D80" s="62"/>
      <c r="E80" s="62"/>
      <c r="F80" s="62"/>
      <c r="G80" s="62" t="str">
        <f>CONCATENATE(C80,"th")</f>
        <v>8th</v>
      </c>
      <c r="H80" s="62"/>
      <c r="I80" s="62"/>
      <c r="J80" s="88"/>
      <c r="K80" s="92"/>
      <c r="L80" s="58"/>
      <c r="M80" s="58"/>
      <c r="N80" s="58"/>
      <c r="O80" s="58"/>
      <c r="P80" s="58"/>
      <c r="Q80" s="58"/>
      <c r="R80" s="84"/>
      <c r="S80" s="92"/>
      <c r="T80" s="58"/>
      <c r="U80" s="58"/>
      <c r="V80" s="58"/>
      <c r="W80" s="58"/>
      <c r="X80" s="58"/>
      <c r="Y80" s="58"/>
      <c r="Z80" s="84"/>
      <c r="AA80" s="58"/>
      <c r="AB80" s="58"/>
      <c r="AC80" s="58"/>
      <c r="AD80" s="58"/>
      <c r="AE80" s="58"/>
      <c r="AF80" s="58"/>
      <c r="AG80" s="58"/>
      <c r="AH80" s="70"/>
      <c r="AI80" s="55"/>
    </row>
    <row r="81" spans="2:35" ht="15.75" thickBot="1">
      <c r="B81" s="100"/>
      <c r="C81" s="78" t="str">
        <f>IF(OR(VariableLengthSubnetMaskCalc.!$D$2="",VariableLengthSubnetMaskCalc.!$D$12="",VariableLengthSubnetMaskCalc.!$D$22="",VariableLengthSubnetMaskCalc.!$D$32="",VariableLengthSubnetMaskCalc.!$D$42="",VariableLengthSubnetMaskCalc.!$D$52="",VariableLengthSubnetMaskCalc.!$D$62="",VariableLengthSubnetMaskCalc.!$D$72=""),"",VariableLengthSubnetMaskCalc.!D72)</f>
        <v/>
      </c>
      <c r="D81" s="79"/>
      <c r="E81" s="79"/>
      <c r="F81" s="79"/>
      <c r="G81" s="79"/>
      <c r="H81" s="79"/>
      <c r="I81" s="79"/>
      <c r="J81" s="89"/>
      <c r="K81" s="96"/>
      <c r="L81" s="80"/>
      <c r="M81" s="80"/>
      <c r="N81" s="80"/>
      <c r="O81" s="80"/>
      <c r="P81" s="80"/>
      <c r="Q81" s="80"/>
      <c r="R81" s="97"/>
      <c r="S81" s="96"/>
      <c r="T81" s="80"/>
      <c r="U81" s="80"/>
      <c r="V81" s="80"/>
      <c r="W81" s="80"/>
      <c r="X81" s="80"/>
      <c r="Y81" s="80"/>
      <c r="Z81" s="97"/>
      <c r="AA81" s="80"/>
      <c r="AB81" s="80"/>
      <c r="AC81" s="80"/>
      <c r="AD81" s="80"/>
      <c r="AE81" s="80"/>
      <c r="AF81" s="80"/>
      <c r="AG81" s="80"/>
      <c r="AH81" s="81"/>
      <c r="AI81" s="55"/>
    </row>
    <row r="82" spans="2:35" ht="15" customHeight="1">
      <c r="B82" s="98" t="str">
        <f>VariableLengthSubnetMaskCalc.!B82</f>
        <v>9th
Network</v>
      </c>
      <c r="C82" s="64">
        <f>IF(VariableLengthSubnetMaskCalc.!D83&gt;C89,0,1)</f>
        <v>0</v>
      </c>
      <c r="D82" s="65">
        <f>IF(VariableLengthSubnetMaskCalc.!D83&gt;D89,0,1)</f>
        <v>0</v>
      </c>
      <c r="E82" s="65">
        <f>IF(VariableLengthSubnetMaskCalc.!D83&gt;E89,0,1)</f>
        <v>0</v>
      </c>
      <c r="F82" s="65">
        <f>IF(VariableLengthSubnetMaskCalc.!D83&gt;F89,0,1)</f>
        <v>0</v>
      </c>
      <c r="G82" s="65">
        <f>IF(VariableLengthSubnetMaskCalc.!D83&gt;G89,0,1)</f>
        <v>0</v>
      </c>
      <c r="H82" s="65">
        <f>IF(VariableLengthSubnetMaskCalc.!D83&gt;H89,0,1)</f>
        <v>0</v>
      </c>
      <c r="I82" s="65">
        <f>IF(VariableLengthSubnetMaskCalc.!D83&gt;I89,0,1)</f>
        <v>0</v>
      </c>
      <c r="J82" s="82">
        <f>IF(VariableLengthSubnetMaskCalc.!D83&gt;J89,0,1)</f>
        <v>0</v>
      </c>
      <c r="K82" s="90">
        <f>IF(VariableLengthSubnetMaskCalc.!D83&gt;K89,0,1)</f>
        <v>0</v>
      </c>
      <c r="L82" s="65">
        <f>IF(VariableLengthSubnetMaskCalc.!D83&gt;L89,0,1)</f>
        <v>0</v>
      </c>
      <c r="M82" s="65">
        <f>IF(VariableLengthSubnetMaskCalc.!D83&gt;M89,0,1)</f>
        <v>0</v>
      </c>
      <c r="N82" s="65">
        <f>IF(VariableLengthSubnetMaskCalc.!D83&gt;N89,0,1)</f>
        <v>0</v>
      </c>
      <c r="O82" s="65">
        <f>IF(VariableLengthSubnetMaskCalc.!D83&gt;O89,0,1)</f>
        <v>0</v>
      </c>
      <c r="P82" s="65">
        <f>IF(VariableLengthSubnetMaskCalc.!D83&gt;P89,0,1)</f>
        <v>0</v>
      </c>
      <c r="Q82" s="65">
        <f>IF(VariableLengthSubnetMaskCalc.!D83&gt;Q89,0,1)</f>
        <v>0</v>
      </c>
      <c r="R82" s="82">
        <f>IF(VariableLengthSubnetMaskCalc.!D83&gt;R89,0,1)</f>
        <v>0</v>
      </c>
      <c r="S82" s="90">
        <f>IF(VariableLengthSubnetMaskCalc.!D83&gt;S89,0,1)</f>
        <v>0</v>
      </c>
      <c r="T82" s="65">
        <f>IF(VariableLengthSubnetMaskCalc.!D83&gt;T89,0,1)</f>
        <v>0</v>
      </c>
      <c r="U82" s="65">
        <f>IF(VariableLengthSubnetMaskCalc.!D83&gt;U89,0,1)</f>
        <v>0</v>
      </c>
      <c r="V82" s="65">
        <f>IF(VariableLengthSubnetMaskCalc.!D83&gt;V89,0,1)</f>
        <v>0</v>
      </c>
      <c r="W82" s="65">
        <f>IF(VariableLengthSubnetMaskCalc.!D83&gt;W89,0,1)</f>
        <v>0</v>
      </c>
      <c r="X82" s="65">
        <f>IF(VariableLengthSubnetMaskCalc.!D83&gt;X89,0,1)</f>
        <v>0</v>
      </c>
      <c r="Y82" s="65">
        <f>IF(VariableLengthSubnetMaskCalc.!D83&gt;Y89,0,1)</f>
        <v>0</v>
      </c>
      <c r="Z82" s="82">
        <f>IF(VariableLengthSubnetMaskCalc.!D83&gt;Z89,0,1)</f>
        <v>0</v>
      </c>
      <c r="AA82" s="65">
        <f>IF(VariableLengthSubnetMaskCalc.!D83&gt;AA89,0,1)</f>
        <v>0</v>
      </c>
      <c r="AB82" s="65">
        <f>IF(VariableLengthSubnetMaskCalc.!D83&gt;AB89,0,1)</f>
        <v>0</v>
      </c>
      <c r="AC82" s="65">
        <f>IF(VariableLengthSubnetMaskCalc.!D83&gt;AC89,0,1)</f>
        <v>0</v>
      </c>
      <c r="AD82" s="65">
        <f>IF(VariableLengthSubnetMaskCalc.!D83&gt;AD89,0,1)</f>
        <v>0</v>
      </c>
      <c r="AE82" s="65">
        <f>IF(VariableLengthSubnetMaskCalc.!D83&gt;AE89,0,1)</f>
        <v>0</v>
      </c>
      <c r="AF82" s="65">
        <f>IF(VariableLengthSubnetMaskCalc.!D83&gt;AF89,0,1)</f>
        <v>0</v>
      </c>
      <c r="AG82" s="65">
        <f>IF(VariableLengthSubnetMaskCalc.!D83&gt;AG89,0,1)</f>
        <v>0</v>
      </c>
      <c r="AH82" s="66">
        <f>IF(VariableLengthSubnetMaskCalc.!D83&gt;AH89,0,1)</f>
        <v>0</v>
      </c>
      <c r="AI82" s="55"/>
    </row>
    <row r="83" spans="2:35">
      <c r="B83" s="99"/>
      <c r="C83" s="67">
        <f>IF(C82=1,0,1)</f>
        <v>1</v>
      </c>
      <c r="D83" s="57">
        <f>IF(D82=1,0,1)</f>
        <v>1</v>
      </c>
      <c r="E83" s="57">
        <f>IF(E82=1,0,1)</f>
        <v>1</v>
      </c>
      <c r="F83" s="57">
        <f>IF(F82=1,0,1)</f>
        <v>1</v>
      </c>
      <c r="G83" s="57">
        <f>IF(G82=1,0,1)</f>
        <v>1</v>
      </c>
      <c r="H83" s="57">
        <f>IF(H82=1,0,1)</f>
        <v>1</v>
      </c>
      <c r="I83" s="57">
        <f>IF(I82=1,0,1)</f>
        <v>1</v>
      </c>
      <c r="J83" s="83">
        <f>IF(J82=1,0,1)</f>
        <v>1</v>
      </c>
      <c r="K83" s="91">
        <f>IF(K82=1,0,1)</f>
        <v>1</v>
      </c>
      <c r="L83" s="57">
        <f>IF(L82=1,0,1)</f>
        <v>1</v>
      </c>
      <c r="M83" s="57">
        <f>IF(M82=1,0,1)</f>
        <v>1</v>
      </c>
      <c r="N83" s="57">
        <f>IF(N82=1,0,1)</f>
        <v>1</v>
      </c>
      <c r="O83" s="57">
        <f>IF(O82=1,0,1)</f>
        <v>1</v>
      </c>
      <c r="P83" s="57">
        <f>IF(P82=1,0,1)</f>
        <v>1</v>
      </c>
      <c r="Q83" s="57">
        <f>IF(Q82=1,0,1)</f>
        <v>1</v>
      </c>
      <c r="R83" s="83">
        <f>IF(R82=1,0,1)</f>
        <v>1</v>
      </c>
      <c r="S83" s="91">
        <f>IF(S82=1,0,1)</f>
        <v>1</v>
      </c>
      <c r="T83" s="57">
        <f>IF(T82=1,0,1)</f>
        <v>1</v>
      </c>
      <c r="U83" s="57">
        <f>IF(U82=1,0,1)</f>
        <v>1</v>
      </c>
      <c r="V83" s="57">
        <f>IF(V82=1,0,1)</f>
        <v>1</v>
      </c>
      <c r="W83" s="57">
        <f>IF(W82=1,0,1)</f>
        <v>1</v>
      </c>
      <c r="X83" s="57">
        <f>IF(X82=1,0,1)</f>
        <v>1</v>
      </c>
      <c r="Y83" s="57">
        <f>IF(Y82=1,0,1)</f>
        <v>1</v>
      </c>
      <c r="Z83" s="83">
        <f>IF(Z82=1,0,1)</f>
        <v>1</v>
      </c>
      <c r="AA83" s="57">
        <f>IF(AA82=1,0,1)</f>
        <v>1</v>
      </c>
      <c r="AB83" s="57">
        <f>IF(AB82=1,0,1)</f>
        <v>1</v>
      </c>
      <c r="AC83" s="57">
        <f>IF(AC82=1,0,1)</f>
        <v>1</v>
      </c>
      <c r="AD83" s="57">
        <f>IF(AD82=1,0,1)</f>
        <v>1</v>
      </c>
      <c r="AE83" s="57">
        <f>IF(AE82=1,0,1)</f>
        <v>1</v>
      </c>
      <c r="AF83" s="57">
        <f>IF(AF82=1,0,1)</f>
        <v>1</v>
      </c>
      <c r="AG83" s="57">
        <f>IF(AG82=1,0,1)</f>
        <v>1</v>
      </c>
      <c r="AH83" s="68">
        <f>IF(AH82=1,0,1)</f>
        <v>1</v>
      </c>
      <c r="AI83" s="55"/>
    </row>
    <row r="84" spans="2:35">
      <c r="B84" s="99"/>
      <c r="C84" s="69"/>
      <c r="D84" s="58"/>
      <c r="E84" s="58"/>
      <c r="F84" s="58"/>
      <c r="G84" s="58"/>
      <c r="H84" s="58"/>
      <c r="I84" s="58"/>
      <c r="J84" s="84"/>
      <c r="K84" s="92"/>
      <c r="L84" s="58"/>
      <c r="M84" s="58"/>
      <c r="N84" s="58"/>
      <c r="O84" s="58"/>
      <c r="P84" s="58"/>
      <c r="Q84" s="58"/>
      <c r="R84" s="84"/>
      <c r="S84" s="92"/>
      <c r="T84" s="58"/>
      <c r="U84" s="58"/>
      <c r="V84" s="58"/>
      <c r="W84" s="58"/>
      <c r="X84" s="58"/>
      <c r="Y84" s="58"/>
      <c r="Z84" s="84"/>
      <c r="AA84" s="58"/>
      <c r="AB84" s="58"/>
      <c r="AC84" s="58"/>
      <c r="AD84" s="58"/>
      <c r="AE84" s="58"/>
      <c r="AF84" s="58"/>
      <c r="AG84" s="58"/>
      <c r="AH84" s="70"/>
      <c r="AI84" s="55"/>
    </row>
    <row r="85" spans="2:35">
      <c r="B85" s="99"/>
      <c r="C85" s="71" t="str">
        <f>CONCATENATE(C82,D82,E82,F82,G82,H82,I82,J82)</f>
        <v>00000000</v>
      </c>
      <c r="D85" s="59"/>
      <c r="E85" s="59"/>
      <c r="F85" s="59"/>
      <c r="G85" s="59">
        <f>BIN2DEC(C85)</f>
        <v>0</v>
      </c>
      <c r="H85" s="59"/>
      <c r="I85" s="59"/>
      <c r="J85" s="85"/>
      <c r="K85" s="93" t="str">
        <f>CONCATENATE(K82,L82,M82,N82,O82,P82,Q82,R82)</f>
        <v>00000000</v>
      </c>
      <c r="L85" s="59"/>
      <c r="M85" s="59"/>
      <c r="N85" s="59"/>
      <c r="O85" s="59">
        <f>BIN2DEC(K85)</f>
        <v>0</v>
      </c>
      <c r="P85" s="59"/>
      <c r="Q85" s="59"/>
      <c r="R85" s="85"/>
      <c r="S85" s="93" t="str">
        <f>CONCATENATE(S82,T82,U82,V82,W82,X82,Y82,Z82)</f>
        <v>00000000</v>
      </c>
      <c r="T85" s="59"/>
      <c r="U85" s="59"/>
      <c r="V85" s="59"/>
      <c r="W85" s="59">
        <f>BIN2DEC(S85)</f>
        <v>0</v>
      </c>
      <c r="X85" s="59"/>
      <c r="Y85" s="59"/>
      <c r="Z85" s="85"/>
      <c r="AA85" s="59" t="str">
        <f>CONCATENATE(AA82,AB82,AC82,AD82,AE82,AF82,AG82,AH82)</f>
        <v>00000000</v>
      </c>
      <c r="AB85" s="59"/>
      <c r="AC85" s="59"/>
      <c r="AD85" s="59"/>
      <c r="AE85" s="59">
        <f>BIN2DEC(AA85)</f>
        <v>0</v>
      </c>
      <c r="AF85" s="59"/>
      <c r="AG85" s="59"/>
      <c r="AH85" s="72"/>
      <c r="AI85" s="55"/>
    </row>
    <row r="86" spans="2:35">
      <c r="B86" s="99"/>
      <c r="C86" s="71" t="str">
        <f>CONCATENATE(C83,D83,E83,F83,G83,H83,I83,J83,)</f>
        <v>11111111</v>
      </c>
      <c r="D86" s="59"/>
      <c r="E86" s="59"/>
      <c r="F86" s="59"/>
      <c r="G86" s="59">
        <f>BIN2DEC(C86)</f>
        <v>255</v>
      </c>
      <c r="H86" s="59"/>
      <c r="I86" s="59"/>
      <c r="J86" s="85"/>
      <c r="K86" s="93" t="str">
        <f>CONCATENATE(K83,L83,M83,N83,O83,P83,Q83,R83,)</f>
        <v>11111111</v>
      </c>
      <c r="L86" s="59"/>
      <c r="M86" s="59"/>
      <c r="N86" s="59"/>
      <c r="O86" s="59">
        <f>BIN2DEC(K86)</f>
        <v>255</v>
      </c>
      <c r="P86" s="59"/>
      <c r="Q86" s="59"/>
      <c r="R86" s="85"/>
      <c r="S86" s="93" t="str">
        <f>CONCATENATE(S83,T83,U83,V83,W83,X83,Y83,Z83,)</f>
        <v>11111111</v>
      </c>
      <c r="T86" s="59"/>
      <c r="U86" s="59"/>
      <c r="V86" s="59"/>
      <c r="W86" s="59">
        <f>BIN2DEC(S86)</f>
        <v>255</v>
      </c>
      <c r="X86" s="59"/>
      <c r="Y86" s="59"/>
      <c r="Z86" s="85"/>
      <c r="AA86" s="59" t="str">
        <f>CONCATENATE(AA83,AB83,AC83,AD83,AE83,AF83,AG83,AH83,)</f>
        <v>11111111</v>
      </c>
      <c r="AB86" s="59"/>
      <c r="AC86" s="59"/>
      <c r="AD86" s="59"/>
      <c r="AE86" s="59">
        <f>BIN2DEC(AA86)</f>
        <v>255</v>
      </c>
      <c r="AF86" s="59"/>
      <c r="AG86" s="59"/>
      <c r="AH86" s="72"/>
      <c r="AI86" s="55"/>
    </row>
    <row r="87" spans="2:35">
      <c r="B87" s="99"/>
      <c r="C87" s="73" t="b">
        <f>AND(VariableLengthSubnetMaskCalc.!D82+2&lt;C89,VariableLengthSubnetMaskCalc.!D82+2&gt;D89)</f>
        <v>0</v>
      </c>
      <c r="D87" s="60" t="b">
        <f>AND(VariableLengthSubnetMaskCalc.!D82+2&lt;D89,VariableLengthSubnetMaskCalc.!D82+2&gt;E89)</f>
        <v>0</v>
      </c>
      <c r="E87" s="60" t="b">
        <f>AND(VariableLengthSubnetMaskCalc.!D82+2&lt;E89,VariableLengthSubnetMaskCalc.!D82+2&gt;F89)</f>
        <v>0</v>
      </c>
      <c r="F87" s="60" t="b">
        <f>AND(VariableLengthSubnetMaskCalc.!D82+2&lt;F89,VariableLengthSubnetMaskCalc.!D82+2&gt;G89)</f>
        <v>0</v>
      </c>
      <c r="G87" s="60" t="b">
        <f>AND(VariableLengthSubnetMaskCalc.!D82+2&lt;G89,VariableLengthSubnetMaskCalc.!D82+2&gt;H89)</f>
        <v>0</v>
      </c>
      <c r="H87" s="60" t="b">
        <f>AND(VariableLengthSubnetMaskCalc.!D82+2&lt;H89,VariableLengthSubnetMaskCalc.!D82+2&gt;I89)</f>
        <v>0</v>
      </c>
      <c r="I87" s="60" t="b">
        <f>AND(VariableLengthSubnetMaskCalc.!D82+2&lt;I89,VariableLengthSubnetMaskCalc.!D82+2&gt;J89)</f>
        <v>0</v>
      </c>
      <c r="J87" s="86" t="b">
        <f>AND(VariableLengthSubnetMaskCalc.!D82+2&lt;J89,VariableLengthSubnetMaskCalc.!D82+2&gt;K89)</f>
        <v>0</v>
      </c>
      <c r="K87" s="94" t="b">
        <f>AND(VariableLengthSubnetMaskCalc.!D82+2&lt;K89,VariableLengthSubnetMaskCalc.!D82+2&gt;L89)</f>
        <v>0</v>
      </c>
      <c r="L87" s="60" t="b">
        <f>AND(VariableLengthSubnetMaskCalc.!D82+2&lt;L89,VariableLengthSubnetMaskCalc.!D82+2&gt;M89)</f>
        <v>0</v>
      </c>
      <c r="M87" s="60" t="b">
        <f>AND(VariableLengthSubnetMaskCalc.!D82+2&lt;M89,VariableLengthSubnetMaskCalc.!D82+2&gt;N89)</f>
        <v>0</v>
      </c>
      <c r="N87" s="60" t="b">
        <f>AND(VariableLengthSubnetMaskCalc.!D82+2&lt;N89,VariableLengthSubnetMaskCalc.!D82+2&gt;O89)</f>
        <v>0</v>
      </c>
      <c r="O87" s="60" t="b">
        <f>AND(VariableLengthSubnetMaskCalc.!D82+2&lt;O89,VariableLengthSubnetMaskCalc.!D82+2&gt;P89)</f>
        <v>0</v>
      </c>
      <c r="P87" s="60" t="b">
        <f>AND(VariableLengthSubnetMaskCalc.!D82+2&lt;P89,VariableLengthSubnetMaskCalc.!D82+2&gt;Q89)</f>
        <v>0</v>
      </c>
      <c r="Q87" s="60" t="b">
        <f>AND(VariableLengthSubnetMaskCalc.!D82+2&lt;Q89,VariableLengthSubnetMaskCalc.!D82+2&gt;R89)</f>
        <v>0</v>
      </c>
      <c r="R87" s="86" t="b">
        <f>AND(VariableLengthSubnetMaskCalc.!D82+2&lt;R89,VariableLengthSubnetMaskCalc.!D82+2&gt;S89)</f>
        <v>0</v>
      </c>
      <c r="S87" s="94" t="b">
        <f>AND(VariableLengthSubnetMaskCalc.!D82+2&lt;S89,VariableLengthSubnetMaskCalc.!D82+2&gt;T89)</f>
        <v>0</v>
      </c>
      <c r="T87" s="60" t="b">
        <f>AND(VariableLengthSubnetMaskCalc.!D82+2&lt;T89,VariableLengthSubnetMaskCalc.!D82+2&gt;U89)</f>
        <v>0</v>
      </c>
      <c r="U87" s="60" t="b">
        <f>AND(VariableLengthSubnetMaskCalc.!D82+2&lt;U89,VariableLengthSubnetMaskCalc.!D82+2&gt;V89)</f>
        <v>0</v>
      </c>
      <c r="V87" s="60" t="b">
        <f>AND(VariableLengthSubnetMaskCalc.!D82+2&lt;V89,VariableLengthSubnetMaskCalc.!D82+2&gt;W89)</f>
        <v>0</v>
      </c>
      <c r="W87" s="60" t="b">
        <f>AND(VariableLengthSubnetMaskCalc.!D82+2&lt;W89,VariableLengthSubnetMaskCalc.!D82+2&gt;X89)</f>
        <v>0</v>
      </c>
      <c r="X87" s="60" t="b">
        <f>AND(VariableLengthSubnetMaskCalc.!D82+2&lt;X89,VariableLengthSubnetMaskCalc.!D82+2&gt;Y89)</f>
        <v>0</v>
      </c>
      <c r="Y87" s="60" t="b">
        <f>AND(VariableLengthSubnetMaskCalc.!D82+2&lt;Y89,VariableLengthSubnetMaskCalc.!D82+2&gt;Z89)</f>
        <v>0</v>
      </c>
      <c r="Z87" s="86" t="b">
        <f>AND(VariableLengthSubnetMaskCalc.!D82+2&lt;Z89,VariableLengthSubnetMaskCalc.!D82+2&gt;AA89)</f>
        <v>0</v>
      </c>
      <c r="AA87" s="60" t="b">
        <f>AND(VariableLengthSubnetMaskCalc.!D82+2&lt;AA89,VariableLengthSubnetMaskCalc.!D82+2&gt;AB89)</f>
        <v>0</v>
      </c>
      <c r="AB87" s="60" t="b">
        <f>AND(VariableLengthSubnetMaskCalc.!D82+2&lt;AB89,VariableLengthSubnetMaskCalc.!D82+2&gt;AC89)</f>
        <v>0</v>
      </c>
      <c r="AC87" s="60" t="b">
        <f>AND(VariableLengthSubnetMaskCalc.!D82+2&lt;AC89,VariableLengthSubnetMaskCalc.!D82+2&gt;AD89)</f>
        <v>0</v>
      </c>
      <c r="AD87" s="60" t="b">
        <f>AND(VariableLengthSubnetMaskCalc.!D82+2&lt;AD89,VariableLengthSubnetMaskCalc.!D82+2&gt;AE89)</f>
        <v>0</v>
      </c>
      <c r="AE87" s="60" t="b">
        <f>AND(VariableLengthSubnetMaskCalc.!D82+2&lt;AE89,VariableLengthSubnetMaskCalc.!D82+2&gt;AF89)</f>
        <v>0</v>
      </c>
      <c r="AF87" s="60" t="b">
        <f>AND(VariableLengthSubnetMaskCalc.!D82+2&lt;AF89,VariableLengthSubnetMaskCalc.!D82+2&gt;AG89)</f>
        <v>0</v>
      </c>
      <c r="AG87" s="60" t="b">
        <f>AND(VariableLengthSubnetMaskCalc.!D82+2&lt;AG89,VariableLengthSubnetMaskCalc.!D82+2&gt;AH89)</f>
        <v>0</v>
      </c>
      <c r="AH87" s="74" t="b">
        <f>AND(VariableLengthSubnetMaskCalc.!D82+2&lt;AH89,VariableLengthSubnetMaskCalc.!D82+2&gt;0)</f>
        <v>0</v>
      </c>
      <c r="AI87" s="55"/>
    </row>
    <row r="88" spans="2:35">
      <c r="B88" s="99"/>
      <c r="C88" s="75">
        <f>AA89</f>
        <v>128</v>
      </c>
      <c r="D88" s="61">
        <f>AB89</f>
        <v>64</v>
      </c>
      <c r="E88" s="61">
        <f>AC89</f>
        <v>32</v>
      </c>
      <c r="F88" s="61">
        <f>AD89</f>
        <v>16</v>
      </c>
      <c r="G88" s="61">
        <f>AE89</f>
        <v>8</v>
      </c>
      <c r="H88" s="61">
        <f>AF89</f>
        <v>4</v>
      </c>
      <c r="I88" s="61">
        <f>AG89</f>
        <v>2</v>
      </c>
      <c r="J88" s="87">
        <f>AH89</f>
        <v>1</v>
      </c>
      <c r="K88" s="95">
        <f>AA89</f>
        <v>128</v>
      </c>
      <c r="L88" s="61">
        <f>AB89</f>
        <v>64</v>
      </c>
      <c r="M88" s="61">
        <f>AC89</f>
        <v>32</v>
      </c>
      <c r="N88" s="61">
        <f>AD89</f>
        <v>16</v>
      </c>
      <c r="O88" s="61">
        <f>AE89</f>
        <v>8</v>
      </c>
      <c r="P88" s="61">
        <f>AF89</f>
        <v>4</v>
      </c>
      <c r="Q88" s="61">
        <f>AG89</f>
        <v>2</v>
      </c>
      <c r="R88" s="87">
        <f>AH89</f>
        <v>1</v>
      </c>
      <c r="S88" s="95">
        <f>AA89</f>
        <v>128</v>
      </c>
      <c r="T88" s="61">
        <f>AB89</f>
        <v>64</v>
      </c>
      <c r="U88" s="61">
        <f>AC89</f>
        <v>32</v>
      </c>
      <c r="V88" s="61">
        <f>AD89</f>
        <v>16</v>
      </c>
      <c r="W88" s="61">
        <f>AE89</f>
        <v>8</v>
      </c>
      <c r="X88" s="61">
        <f>AF89</f>
        <v>4</v>
      </c>
      <c r="Y88" s="61">
        <f>AG89</f>
        <v>2</v>
      </c>
      <c r="Z88" s="87">
        <f>AH89</f>
        <v>1</v>
      </c>
      <c r="AA88" s="61">
        <f>AA89</f>
        <v>128</v>
      </c>
      <c r="AB88" s="61">
        <f>AB89</f>
        <v>64</v>
      </c>
      <c r="AC88" s="61">
        <f>AC89</f>
        <v>32</v>
      </c>
      <c r="AD88" s="61">
        <f>AD89</f>
        <v>16</v>
      </c>
      <c r="AE88" s="61">
        <f>AE89</f>
        <v>8</v>
      </c>
      <c r="AF88" s="61">
        <f>AF89</f>
        <v>4</v>
      </c>
      <c r="AG88" s="61">
        <f>AG89</f>
        <v>2</v>
      </c>
      <c r="AH88" s="76">
        <f>AH89</f>
        <v>1</v>
      </c>
      <c r="AI88" s="55"/>
    </row>
    <row r="89" spans="2:35">
      <c r="B89" s="99"/>
      <c r="C89" s="75">
        <f>D89*2</f>
        <v>2147483648</v>
      </c>
      <c r="D89" s="61">
        <f>E89*2</f>
        <v>1073741824</v>
      </c>
      <c r="E89" s="61">
        <f>F89*2</f>
        <v>536870912</v>
      </c>
      <c r="F89" s="61">
        <f>G89*2</f>
        <v>268435456</v>
      </c>
      <c r="G89" s="61">
        <f>H89*2</f>
        <v>134217728</v>
      </c>
      <c r="H89" s="61">
        <f>I89*2</f>
        <v>67108864</v>
      </c>
      <c r="I89" s="61">
        <f>J89*2</f>
        <v>33554432</v>
      </c>
      <c r="J89" s="87">
        <f>K89*2</f>
        <v>16777216</v>
      </c>
      <c r="K89" s="95">
        <f>L89*2</f>
        <v>8388608</v>
      </c>
      <c r="L89" s="61">
        <f>M89*2</f>
        <v>4194304</v>
      </c>
      <c r="M89" s="61">
        <f>N89*2</f>
        <v>2097152</v>
      </c>
      <c r="N89" s="61">
        <f>O89*2</f>
        <v>1048576</v>
      </c>
      <c r="O89" s="61">
        <f>P89*2</f>
        <v>524288</v>
      </c>
      <c r="P89" s="61">
        <f>Q89*2</f>
        <v>262144</v>
      </c>
      <c r="Q89" s="61">
        <f>R89*2</f>
        <v>131072</v>
      </c>
      <c r="R89" s="87">
        <f>S89*2</f>
        <v>65536</v>
      </c>
      <c r="S89" s="95">
        <f>T89*2</f>
        <v>32768</v>
      </c>
      <c r="T89" s="61">
        <f>U89*2</f>
        <v>16384</v>
      </c>
      <c r="U89" s="61">
        <f>V89*2</f>
        <v>8192</v>
      </c>
      <c r="V89" s="61">
        <f>W89*2</f>
        <v>4096</v>
      </c>
      <c r="W89" s="61">
        <f>X89*2</f>
        <v>2048</v>
      </c>
      <c r="X89" s="61">
        <f>Y89*2</f>
        <v>1024</v>
      </c>
      <c r="Y89" s="61">
        <f>Z89*2</f>
        <v>512</v>
      </c>
      <c r="Z89" s="87">
        <f>AA89*2</f>
        <v>256</v>
      </c>
      <c r="AA89" s="61">
        <f>AB89*2</f>
        <v>128</v>
      </c>
      <c r="AB89" s="61">
        <f>AC89*2</f>
        <v>64</v>
      </c>
      <c r="AC89" s="61">
        <f>AD89*2</f>
        <v>32</v>
      </c>
      <c r="AD89" s="61">
        <f>AE89*2</f>
        <v>16</v>
      </c>
      <c r="AE89" s="61">
        <f>AF89*2</f>
        <v>8</v>
      </c>
      <c r="AF89" s="61">
        <f>AG89*2</f>
        <v>4</v>
      </c>
      <c r="AG89" s="61">
        <f>AH89*2</f>
        <v>2</v>
      </c>
      <c r="AH89" s="76">
        <v>1</v>
      </c>
      <c r="AI89" s="55"/>
    </row>
    <row r="90" spans="2:35">
      <c r="B90" s="99"/>
      <c r="C90" s="77">
        <f>C80+1</f>
        <v>9</v>
      </c>
      <c r="D90" s="62"/>
      <c r="E90" s="62"/>
      <c r="F90" s="62"/>
      <c r="G90" s="62" t="str">
        <f>CONCATENATE(C90,"th")</f>
        <v>9th</v>
      </c>
      <c r="H90" s="62"/>
      <c r="I90" s="62"/>
      <c r="J90" s="88"/>
      <c r="K90" s="92"/>
      <c r="L90" s="58"/>
      <c r="M90" s="58"/>
      <c r="N90" s="58"/>
      <c r="O90" s="58"/>
      <c r="P90" s="58"/>
      <c r="Q90" s="58"/>
      <c r="R90" s="84"/>
      <c r="S90" s="92"/>
      <c r="T90" s="58"/>
      <c r="U90" s="58"/>
      <c r="V90" s="58"/>
      <c r="W90" s="58"/>
      <c r="X90" s="58"/>
      <c r="Y90" s="58"/>
      <c r="Z90" s="84"/>
      <c r="AA90" s="58"/>
      <c r="AB90" s="58"/>
      <c r="AC90" s="58"/>
      <c r="AD90" s="58"/>
      <c r="AE90" s="58"/>
      <c r="AF90" s="58"/>
      <c r="AG90" s="58"/>
      <c r="AH90" s="70"/>
      <c r="AI90" s="55"/>
    </row>
    <row r="91" spans="2:35" ht="15.75" thickBot="1">
      <c r="B91" s="100"/>
      <c r="C91" s="78" t="str">
        <f>IF(OR(VariableLengthSubnetMaskCalc.!$D$2="",VariableLengthSubnetMaskCalc.!$D$12="",VariableLengthSubnetMaskCalc.!$D$22="",VariableLengthSubnetMaskCalc.!$D$32="",VariableLengthSubnetMaskCalc.!$D$42="",VariableLengthSubnetMaskCalc.!$D$52="",VariableLengthSubnetMaskCalc.!$D$62="",VariableLengthSubnetMaskCalc.!$D$72="",VariableLengthSubnetMaskCalc.!$D$82=""),"",VariableLengthSubnetMaskCalc.!D82)</f>
        <v/>
      </c>
      <c r="D91" s="79"/>
      <c r="E91" s="79"/>
      <c r="F91" s="79"/>
      <c r="G91" s="79"/>
      <c r="H91" s="79"/>
      <c r="I91" s="79"/>
      <c r="J91" s="89"/>
      <c r="K91" s="96"/>
      <c r="L91" s="80"/>
      <c r="M91" s="80"/>
      <c r="N91" s="80"/>
      <c r="O91" s="80"/>
      <c r="P91" s="80"/>
      <c r="Q91" s="80"/>
      <c r="R91" s="97"/>
      <c r="S91" s="96"/>
      <c r="T91" s="80"/>
      <c r="U91" s="80"/>
      <c r="V91" s="80"/>
      <c r="W91" s="80"/>
      <c r="X91" s="80"/>
      <c r="Y91" s="80"/>
      <c r="Z91" s="97"/>
      <c r="AA91" s="80"/>
      <c r="AB91" s="80"/>
      <c r="AC91" s="80"/>
      <c r="AD91" s="80"/>
      <c r="AE91" s="80"/>
      <c r="AF91" s="80"/>
      <c r="AG91" s="80"/>
      <c r="AH91" s="81"/>
      <c r="AI91" s="55"/>
    </row>
    <row r="92" spans="2:35" ht="15" customHeight="1">
      <c r="B92" s="98" t="str">
        <f>VariableLengthSubnetMaskCalc.!B92</f>
        <v>10th
Network</v>
      </c>
      <c r="C92" s="64">
        <f>IF(VariableLengthSubnetMaskCalc.!D93&gt;C99,0,1)</f>
        <v>0</v>
      </c>
      <c r="D92" s="65">
        <f>IF(VariableLengthSubnetMaskCalc.!D93&gt;D99,0,1)</f>
        <v>0</v>
      </c>
      <c r="E92" s="65">
        <f>IF(VariableLengthSubnetMaskCalc.!D93&gt;E99,0,1)</f>
        <v>0</v>
      </c>
      <c r="F92" s="65">
        <f>IF(VariableLengthSubnetMaskCalc.!D93&gt;F99,0,1)</f>
        <v>0</v>
      </c>
      <c r="G92" s="65">
        <f>IF(VariableLengthSubnetMaskCalc.!D93&gt;G99,0,1)</f>
        <v>0</v>
      </c>
      <c r="H92" s="65">
        <f>IF(VariableLengthSubnetMaskCalc.!D93&gt;H99,0,1)</f>
        <v>0</v>
      </c>
      <c r="I92" s="65">
        <f>IF(VariableLengthSubnetMaskCalc.!D93&gt;I99,0,1)</f>
        <v>0</v>
      </c>
      <c r="J92" s="82">
        <f>IF(VariableLengthSubnetMaskCalc.!D93&gt;J99,0,1)</f>
        <v>0</v>
      </c>
      <c r="K92" s="90">
        <f>IF(VariableLengthSubnetMaskCalc.!D93&gt;K99,0,1)</f>
        <v>0</v>
      </c>
      <c r="L92" s="65">
        <f>IF(VariableLengthSubnetMaskCalc.!D93&gt;L99,0,1)</f>
        <v>0</v>
      </c>
      <c r="M92" s="65">
        <f>IF(VariableLengthSubnetMaskCalc.!D93&gt;M99,0,1)</f>
        <v>0</v>
      </c>
      <c r="N92" s="65">
        <f>IF(VariableLengthSubnetMaskCalc.!D93&gt;N99,0,1)</f>
        <v>0</v>
      </c>
      <c r="O92" s="65">
        <f>IF(VariableLengthSubnetMaskCalc.!D93&gt;O99,0,1)</f>
        <v>0</v>
      </c>
      <c r="P92" s="65">
        <f>IF(VariableLengthSubnetMaskCalc.!D93&gt;P99,0,1)</f>
        <v>0</v>
      </c>
      <c r="Q92" s="65">
        <f>IF(VariableLengthSubnetMaskCalc.!D93&gt;Q99,0,1)</f>
        <v>0</v>
      </c>
      <c r="R92" s="82">
        <f>IF(VariableLengthSubnetMaskCalc.!D93&gt;R99,0,1)</f>
        <v>0</v>
      </c>
      <c r="S92" s="90">
        <f>IF(VariableLengthSubnetMaskCalc.!D93&gt;S99,0,1)</f>
        <v>0</v>
      </c>
      <c r="T92" s="65">
        <f>IF(VariableLengthSubnetMaskCalc.!D93&gt;T99,0,1)</f>
        <v>0</v>
      </c>
      <c r="U92" s="65">
        <f>IF(VariableLengthSubnetMaskCalc.!D93&gt;U99,0,1)</f>
        <v>0</v>
      </c>
      <c r="V92" s="65">
        <f>IF(VariableLengthSubnetMaskCalc.!D93&gt;V99,0,1)</f>
        <v>0</v>
      </c>
      <c r="W92" s="65">
        <f>IF(VariableLengthSubnetMaskCalc.!D93&gt;W99,0,1)</f>
        <v>0</v>
      </c>
      <c r="X92" s="65">
        <f>IF(VariableLengthSubnetMaskCalc.!D93&gt;X99,0,1)</f>
        <v>0</v>
      </c>
      <c r="Y92" s="65">
        <f>IF(VariableLengthSubnetMaskCalc.!D93&gt;Y99,0,1)</f>
        <v>0</v>
      </c>
      <c r="Z92" s="82">
        <f>IF(VariableLengthSubnetMaskCalc.!D93&gt;Z99,0,1)</f>
        <v>0</v>
      </c>
      <c r="AA92" s="65">
        <f>IF(VariableLengthSubnetMaskCalc.!D93&gt;AA99,0,1)</f>
        <v>0</v>
      </c>
      <c r="AB92" s="65">
        <f>IF(VariableLengthSubnetMaskCalc.!D93&gt;AB99,0,1)</f>
        <v>0</v>
      </c>
      <c r="AC92" s="65">
        <f>IF(VariableLengthSubnetMaskCalc.!D93&gt;AC99,0,1)</f>
        <v>0</v>
      </c>
      <c r="AD92" s="65">
        <f>IF(VariableLengthSubnetMaskCalc.!D93&gt;AD99,0,1)</f>
        <v>0</v>
      </c>
      <c r="AE92" s="65">
        <f>IF(VariableLengthSubnetMaskCalc.!D93&gt;AE99,0,1)</f>
        <v>0</v>
      </c>
      <c r="AF92" s="65">
        <f>IF(VariableLengthSubnetMaskCalc.!D93&gt;AF99,0,1)</f>
        <v>0</v>
      </c>
      <c r="AG92" s="65">
        <f>IF(VariableLengthSubnetMaskCalc.!D93&gt;AG99,0,1)</f>
        <v>0</v>
      </c>
      <c r="AH92" s="66">
        <f>IF(VariableLengthSubnetMaskCalc.!D93&gt;AH99,0,1)</f>
        <v>0</v>
      </c>
      <c r="AI92" s="55"/>
    </row>
    <row r="93" spans="2:35">
      <c r="B93" s="99"/>
      <c r="C93" s="67">
        <f>IF(C92=1,0,1)</f>
        <v>1</v>
      </c>
      <c r="D93" s="57">
        <f>IF(D92=1,0,1)</f>
        <v>1</v>
      </c>
      <c r="E93" s="57">
        <f>IF(E92=1,0,1)</f>
        <v>1</v>
      </c>
      <c r="F93" s="57">
        <f>IF(F92=1,0,1)</f>
        <v>1</v>
      </c>
      <c r="G93" s="57">
        <f>IF(G92=1,0,1)</f>
        <v>1</v>
      </c>
      <c r="H93" s="57">
        <f>IF(H92=1,0,1)</f>
        <v>1</v>
      </c>
      <c r="I93" s="57">
        <f>IF(I92=1,0,1)</f>
        <v>1</v>
      </c>
      <c r="J93" s="83">
        <f>IF(J92=1,0,1)</f>
        <v>1</v>
      </c>
      <c r="K93" s="91">
        <f>IF(K92=1,0,1)</f>
        <v>1</v>
      </c>
      <c r="L93" s="57">
        <f>IF(L92=1,0,1)</f>
        <v>1</v>
      </c>
      <c r="M93" s="57">
        <f>IF(M92=1,0,1)</f>
        <v>1</v>
      </c>
      <c r="N93" s="57">
        <f>IF(N92=1,0,1)</f>
        <v>1</v>
      </c>
      <c r="O93" s="57">
        <f>IF(O92=1,0,1)</f>
        <v>1</v>
      </c>
      <c r="P93" s="57">
        <f>IF(P92=1,0,1)</f>
        <v>1</v>
      </c>
      <c r="Q93" s="57">
        <f>IF(Q92=1,0,1)</f>
        <v>1</v>
      </c>
      <c r="R93" s="83">
        <f>IF(R92=1,0,1)</f>
        <v>1</v>
      </c>
      <c r="S93" s="91">
        <f>IF(S92=1,0,1)</f>
        <v>1</v>
      </c>
      <c r="T93" s="57">
        <f>IF(T92=1,0,1)</f>
        <v>1</v>
      </c>
      <c r="U93" s="57">
        <f>IF(U92=1,0,1)</f>
        <v>1</v>
      </c>
      <c r="V93" s="57">
        <f>IF(V92=1,0,1)</f>
        <v>1</v>
      </c>
      <c r="W93" s="57">
        <f>IF(W92=1,0,1)</f>
        <v>1</v>
      </c>
      <c r="X93" s="57">
        <f>IF(X92=1,0,1)</f>
        <v>1</v>
      </c>
      <c r="Y93" s="57">
        <f>IF(Y92=1,0,1)</f>
        <v>1</v>
      </c>
      <c r="Z93" s="83">
        <f>IF(Z92=1,0,1)</f>
        <v>1</v>
      </c>
      <c r="AA93" s="57">
        <f>IF(AA92=1,0,1)</f>
        <v>1</v>
      </c>
      <c r="AB93" s="57">
        <f>IF(AB92=1,0,1)</f>
        <v>1</v>
      </c>
      <c r="AC93" s="57">
        <f>IF(AC92=1,0,1)</f>
        <v>1</v>
      </c>
      <c r="AD93" s="57">
        <f>IF(AD92=1,0,1)</f>
        <v>1</v>
      </c>
      <c r="AE93" s="57">
        <f>IF(AE92=1,0,1)</f>
        <v>1</v>
      </c>
      <c r="AF93" s="57">
        <f>IF(AF92=1,0,1)</f>
        <v>1</v>
      </c>
      <c r="AG93" s="57">
        <f>IF(AG92=1,0,1)</f>
        <v>1</v>
      </c>
      <c r="AH93" s="68">
        <f>IF(AH92=1,0,1)</f>
        <v>1</v>
      </c>
      <c r="AI93" s="55"/>
    </row>
    <row r="94" spans="2:35">
      <c r="B94" s="99"/>
      <c r="C94" s="69"/>
      <c r="D94" s="58"/>
      <c r="E94" s="58"/>
      <c r="F94" s="58"/>
      <c r="G94" s="58"/>
      <c r="H94" s="58"/>
      <c r="I94" s="58"/>
      <c r="J94" s="84"/>
      <c r="K94" s="92"/>
      <c r="L94" s="58"/>
      <c r="M94" s="58"/>
      <c r="N94" s="58"/>
      <c r="O94" s="58"/>
      <c r="P94" s="58"/>
      <c r="Q94" s="58"/>
      <c r="R94" s="84"/>
      <c r="S94" s="92"/>
      <c r="T94" s="58"/>
      <c r="U94" s="58"/>
      <c r="V94" s="58"/>
      <c r="W94" s="58"/>
      <c r="X94" s="58"/>
      <c r="Y94" s="58"/>
      <c r="Z94" s="84"/>
      <c r="AA94" s="58"/>
      <c r="AB94" s="58"/>
      <c r="AC94" s="58"/>
      <c r="AD94" s="58"/>
      <c r="AE94" s="58"/>
      <c r="AF94" s="58"/>
      <c r="AG94" s="58"/>
      <c r="AH94" s="70"/>
      <c r="AI94" s="55"/>
    </row>
    <row r="95" spans="2:35">
      <c r="B95" s="99"/>
      <c r="C95" s="71" t="str">
        <f>CONCATENATE(C92,D92,E92,F92,G92,H92,I92,J92)</f>
        <v>00000000</v>
      </c>
      <c r="D95" s="59"/>
      <c r="E95" s="59"/>
      <c r="F95" s="59"/>
      <c r="G95" s="59">
        <f>BIN2DEC(C95)</f>
        <v>0</v>
      </c>
      <c r="H95" s="59"/>
      <c r="I95" s="59"/>
      <c r="J95" s="85"/>
      <c r="K95" s="93" t="str">
        <f>CONCATENATE(K92,L92,M92,N92,O92,P92,Q92,R92)</f>
        <v>00000000</v>
      </c>
      <c r="L95" s="59"/>
      <c r="M95" s="59"/>
      <c r="N95" s="59"/>
      <c r="O95" s="59">
        <f>BIN2DEC(K95)</f>
        <v>0</v>
      </c>
      <c r="P95" s="59"/>
      <c r="Q95" s="59"/>
      <c r="R95" s="85"/>
      <c r="S95" s="93" t="str">
        <f>CONCATENATE(S92,T92,U92,V92,W92,X92,Y92,Z92)</f>
        <v>00000000</v>
      </c>
      <c r="T95" s="59"/>
      <c r="U95" s="59"/>
      <c r="V95" s="59"/>
      <c r="W95" s="59">
        <f>BIN2DEC(S95)</f>
        <v>0</v>
      </c>
      <c r="X95" s="59"/>
      <c r="Y95" s="59"/>
      <c r="Z95" s="85"/>
      <c r="AA95" s="59" t="str">
        <f>CONCATENATE(AA92,AB92,AC92,AD92,AE92,AF92,AG92,AH92)</f>
        <v>00000000</v>
      </c>
      <c r="AB95" s="59"/>
      <c r="AC95" s="59"/>
      <c r="AD95" s="59"/>
      <c r="AE95" s="59">
        <f>BIN2DEC(AA95)</f>
        <v>0</v>
      </c>
      <c r="AF95" s="59"/>
      <c r="AG95" s="59"/>
      <c r="AH95" s="72"/>
      <c r="AI95" s="55"/>
    </row>
    <row r="96" spans="2:35">
      <c r="B96" s="99"/>
      <c r="C96" s="71" t="str">
        <f>CONCATENATE(C93,D93,E93,F93,G93,H93,I93,J93,)</f>
        <v>11111111</v>
      </c>
      <c r="D96" s="59"/>
      <c r="E96" s="59"/>
      <c r="F96" s="59"/>
      <c r="G96" s="59">
        <f>BIN2DEC(C96)</f>
        <v>255</v>
      </c>
      <c r="H96" s="59"/>
      <c r="I96" s="59"/>
      <c r="J96" s="85"/>
      <c r="K96" s="93" t="str">
        <f>CONCATENATE(K93,L93,M93,N93,O93,P93,Q93,R93,)</f>
        <v>11111111</v>
      </c>
      <c r="L96" s="59"/>
      <c r="M96" s="59"/>
      <c r="N96" s="59"/>
      <c r="O96" s="59">
        <f>BIN2DEC(K96)</f>
        <v>255</v>
      </c>
      <c r="P96" s="59"/>
      <c r="Q96" s="59"/>
      <c r="R96" s="85"/>
      <c r="S96" s="93" t="str">
        <f>CONCATENATE(S93,T93,U93,V93,W93,X93,Y93,Z93,)</f>
        <v>11111111</v>
      </c>
      <c r="T96" s="59"/>
      <c r="U96" s="59"/>
      <c r="V96" s="59"/>
      <c r="W96" s="59">
        <f>BIN2DEC(S96)</f>
        <v>255</v>
      </c>
      <c r="X96" s="59"/>
      <c r="Y96" s="59"/>
      <c r="Z96" s="85"/>
      <c r="AA96" s="59" t="str">
        <f>CONCATENATE(AA93,AB93,AC93,AD93,AE93,AF93,AG93,AH93,)</f>
        <v>11111111</v>
      </c>
      <c r="AB96" s="59"/>
      <c r="AC96" s="59"/>
      <c r="AD96" s="59"/>
      <c r="AE96" s="59">
        <f>BIN2DEC(AA96)</f>
        <v>255</v>
      </c>
      <c r="AF96" s="59"/>
      <c r="AG96" s="59"/>
      <c r="AH96" s="72"/>
      <c r="AI96" s="55"/>
    </row>
    <row r="97" spans="2:35">
      <c r="B97" s="99"/>
      <c r="C97" s="73" t="b">
        <f>AND(VariableLengthSubnetMaskCalc.!D92+2&lt;C99,VariableLengthSubnetMaskCalc.!D92+2&gt;D99)</f>
        <v>0</v>
      </c>
      <c r="D97" s="60" t="b">
        <f>AND(VariableLengthSubnetMaskCalc.!D92+2&lt;D99,VariableLengthSubnetMaskCalc.!D92+2&gt;E99)</f>
        <v>0</v>
      </c>
      <c r="E97" s="60" t="b">
        <f>AND(VariableLengthSubnetMaskCalc.!D92+2&lt;E99,VariableLengthSubnetMaskCalc.!D92+2&gt;F99)</f>
        <v>0</v>
      </c>
      <c r="F97" s="60" t="b">
        <f>AND(VariableLengthSubnetMaskCalc.!D92+2&lt;F99,VariableLengthSubnetMaskCalc.!D92+2&gt;G99)</f>
        <v>0</v>
      </c>
      <c r="G97" s="60" t="b">
        <f>AND(VariableLengthSubnetMaskCalc.!D92+2&lt;G99,VariableLengthSubnetMaskCalc.!D92+2&gt;H99)</f>
        <v>0</v>
      </c>
      <c r="H97" s="60" t="b">
        <f>AND(VariableLengthSubnetMaskCalc.!D92+2&lt;H99,VariableLengthSubnetMaskCalc.!D92+2&gt;I99)</f>
        <v>0</v>
      </c>
      <c r="I97" s="60" t="b">
        <f>AND(VariableLengthSubnetMaskCalc.!D92+2&lt;I99,VariableLengthSubnetMaskCalc.!D92+2&gt;J99)</f>
        <v>0</v>
      </c>
      <c r="J97" s="86" t="b">
        <f>AND(VariableLengthSubnetMaskCalc.!D92+2&lt;J99,VariableLengthSubnetMaskCalc.!D92+2&gt;K99)</f>
        <v>0</v>
      </c>
      <c r="K97" s="94" t="b">
        <f>AND(VariableLengthSubnetMaskCalc.!D92+2&lt;K99,VariableLengthSubnetMaskCalc.!D92+2&gt;L99)</f>
        <v>0</v>
      </c>
      <c r="L97" s="60" t="b">
        <f>AND(VariableLengthSubnetMaskCalc.!D92+2&lt;L99,VariableLengthSubnetMaskCalc.!D92+2&gt;M99)</f>
        <v>0</v>
      </c>
      <c r="M97" s="60" t="b">
        <f>AND(VariableLengthSubnetMaskCalc.!D92+2&lt;M99,VariableLengthSubnetMaskCalc.!D92+2&gt;N99)</f>
        <v>0</v>
      </c>
      <c r="N97" s="60" t="b">
        <f>AND(VariableLengthSubnetMaskCalc.!D92+2&lt;N99,VariableLengthSubnetMaskCalc.!D92+2&gt;O99)</f>
        <v>0</v>
      </c>
      <c r="O97" s="60" t="b">
        <f>AND(VariableLengthSubnetMaskCalc.!D92+2&lt;O99,VariableLengthSubnetMaskCalc.!D92+2&gt;P99)</f>
        <v>0</v>
      </c>
      <c r="P97" s="60" t="b">
        <f>AND(VariableLengthSubnetMaskCalc.!D92+2&lt;P99,VariableLengthSubnetMaskCalc.!D92+2&gt;Q99)</f>
        <v>0</v>
      </c>
      <c r="Q97" s="60" t="b">
        <f>AND(VariableLengthSubnetMaskCalc.!D92+2&lt;Q99,VariableLengthSubnetMaskCalc.!D92+2&gt;R99)</f>
        <v>0</v>
      </c>
      <c r="R97" s="86" t="b">
        <f>AND(VariableLengthSubnetMaskCalc.!D92+2&lt;R99,VariableLengthSubnetMaskCalc.!D92+2&gt;S99)</f>
        <v>0</v>
      </c>
      <c r="S97" s="94" t="b">
        <f>AND(VariableLengthSubnetMaskCalc.!D92+2&lt;S99,VariableLengthSubnetMaskCalc.!D92+2&gt;T99)</f>
        <v>0</v>
      </c>
      <c r="T97" s="60" t="b">
        <f>AND(VariableLengthSubnetMaskCalc.!D92+2&lt;T99,VariableLengthSubnetMaskCalc.!D92+2&gt;U99)</f>
        <v>0</v>
      </c>
      <c r="U97" s="60" t="b">
        <f>AND(VariableLengthSubnetMaskCalc.!D92+2&lt;U99,VariableLengthSubnetMaskCalc.!D92+2&gt;V99)</f>
        <v>0</v>
      </c>
      <c r="V97" s="60" t="b">
        <f>AND(VariableLengthSubnetMaskCalc.!D92+2&lt;V99,VariableLengthSubnetMaskCalc.!D92+2&gt;W99)</f>
        <v>0</v>
      </c>
      <c r="W97" s="60" t="b">
        <f>AND(VariableLengthSubnetMaskCalc.!D92+2&lt;W99,VariableLengthSubnetMaskCalc.!D92+2&gt;X99)</f>
        <v>0</v>
      </c>
      <c r="X97" s="60" t="b">
        <f>AND(VariableLengthSubnetMaskCalc.!D92+2&lt;X99,VariableLengthSubnetMaskCalc.!D92+2&gt;Y99)</f>
        <v>0</v>
      </c>
      <c r="Y97" s="60" t="b">
        <f>AND(VariableLengthSubnetMaskCalc.!D92+2&lt;Y99,VariableLengthSubnetMaskCalc.!D92+2&gt;Z99)</f>
        <v>0</v>
      </c>
      <c r="Z97" s="86" t="b">
        <f>AND(VariableLengthSubnetMaskCalc.!D92+2&lt;Z99,VariableLengthSubnetMaskCalc.!D92+2&gt;AA99)</f>
        <v>0</v>
      </c>
      <c r="AA97" s="60" t="b">
        <f>AND(VariableLengthSubnetMaskCalc.!D92+2&lt;AA99,VariableLengthSubnetMaskCalc.!D92+2&gt;AB99)</f>
        <v>0</v>
      </c>
      <c r="AB97" s="60" t="b">
        <f>AND(VariableLengthSubnetMaskCalc.!D92+2&lt;AB99,VariableLengthSubnetMaskCalc.!D92+2&gt;AC99)</f>
        <v>0</v>
      </c>
      <c r="AC97" s="60" t="b">
        <f>AND(VariableLengthSubnetMaskCalc.!D92+2&lt;AC99,VariableLengthSubnetMaskCalc.!D92+2&gt;AD99)</f>
        <v>0</v>
      </c>
      <c r="AD97" s="60" t="b">
        <f>AND(VariableLengthSubnetMaskCalc.!D92+2&lt;AD99,VariableLengthSubnetMaskCalc.!D92+2&gt;AE99)</f>
        <v>0</v>
      </c>
      <c r="AE97" s="60" t="b">
        <f>AND(VariableLengthSubnetMaskCalc.!D92+2&lt;AE99,VariableLengthSubnetMaskCalc.!D92+2&gt;AF99)</f>
        <v>0</v>
      </c>
      <c r="AF97" s="60" t="b">
        <f>AND(VariableLengthSubnetMaskCalc.!D92+2&lt;AF99,VariableLengthSubnetMaskCalc.!D92+2&gt;AG99)</f>
        <v>0</v>
      </c>
      <c r="AG97" s="60" t="b">
        <f>AND(VariableLengthSubnetMaskCalc.!D92+2&lt;AG99,VariableLengthSubnetMaskCalc.!D92+2&gt;AH99)</f>
        <v>0</v>
      </c>
      <c r="AH97" s="74" t="b">
        <f>AND(VariableLengthSubnetMaskCalc.!D92+2&lt;AH99,VariableLengthSubnetMaskCalc.!D92+2&gt;0)</f>
        <v>0</v>
      </c>
      <c r="AI97" s="55"/>
    </row>
    <row r="98" spans="2:35">
      <c r="B98" s="99"/>
      <c r="C98" s="75">
        <f>AA99</f>
        <v>128</v>
      </c>
      <c r="D98" s="61">
        <f>AB99</f>
        <v>64</v>
      </c>
      <c r="E98" s="61">
        <f>AC99</f>
        <v>32</v>
      </c>
      <c r="F98" s="61">
        <f>AD99</f>
        <v>16</v>
      </c>
      <c r="G98" s="61">
        <f>AE99</f>
        <v>8</v>
      </c>
      <c r="H98" s="61">
        <f>AF99</f>
        <v>4</v>
      </c>
      <c r="I98" s="61">
        <f>AG99</f>
        <v>2</v>
      </c>
      <c r="J98" s="87">
        <f>AH99</f>
        <v>1</v>
      </c>
      <c r="K98" s="95">
        <f>AA99</f>
        <v>128</v>
      </c>
      <c r="L98" s="61">
        <f>AB99</f>
        <v>64</v>
      </c>
      <c r="M98" s="61">
        <f>AC99</f>
        <v>32</v>
      </c>
      <c r="N98" s="61">
        <f>AD99</f>
        <v>16</v>
      </c>
      <c r="O98" s="61">
        <f>AE99</f>
        <v>8</v>
      </c>
      <c r="P98" s="61">
        <f>AF99</f>
        <v>4</v>
      </c>
      <c r="Q98" s="61">
        <f>AG99</f>
        <v>2</v>
      </c>
      <c r="R98" s="87">
        <f>AH99</f>
        <v>1</v>
      </c>
      <c r="S98" s="95">
        <f>AA99</f>
        <v>128</v>
      </c>
      <c r="T98" s="61">
        <f>AB99</f>
        <v>64</v>
      </c>
      <c r="U98" s="61">
        <f>AC99</f>
        <v>32</v>
      </c>
      <c r="V98" s="61">
        <f>AD99</f>
        <v>16</v>
      </c>
      <c r="W98" s="61">
        <f>AE99</f>
        <v>8</v>
      </c>
      <c r="X98" s="61">
        <f>AF99</f>
        <v>4</v>
      </c>
      <c r="Y98" s="61">
        <f>AG99</f>
        <v>2</v>
      </c>
      <c r="Z98" s="87">
        <f>AH99</f>
        <v>1</v>
      </c>
      <c r="AA98" s="61">
        <f>AA99</f>
        <v>128</v>
      </c>
      <c r="AB98" s="61">
        <f>AB99</f>
        <v>64</v>
      </c>
      <c r="AC98" s="61">
        <f>AC99</f>
        <v>32</v>
      </c>
      <c r="AD98" s="61">
        <f>AD99</f>
        <v>16</v>
      </c>
      <c r="AE98" s="61">
        <f>AE99</f>
        <v>8</v>
      </c>
      <c r="AF98" s="61">
        <f>AF99</f>
        <v>4</v>
      </c>
      <c r="AG98" s="61">
        <f>AG99</f>
        <v>2</v>
      </c>
      <c r="AH98" s="76">
        <f>AH99</f>
        <v>1</v>
      </c>
      <c r="AI98" s="55"/>
    </row>
    <row r="99" spans="2:35">
      <c r="B99" s="99"/>
      <c r="C99" s="75">
        <f>D99*2</f>
        <v>2147483648</v>
      </c>
      <c r="D99" s="61">
        <f>E99*2</f>
        <v>1073741824</v>
      </c>
      <c r="E99" s="61">
        <f>F99*2</f>
        <v>536870912</v>
      </c>
      <c r="F99" s="61">
        <f>G99*2</f>
        <v>268435456</v>
      </c>
      <c r="G99" s="61">
        <f>H99*2</f>
        <v>134217728</v>
      </c>
      <c r="H99" s="61">
        <f>I99*2</f>
        <v>67108864</v>
      </c>
      <c r="I99" s="61">
        <f>J99*2</f>
        <v>33554432</v>
      </c>
      <c r="J99" s="87">
        <f>K99*2</f>
        <v>16777216</v>
      </c>
      <c r="K99" s="95">
        <f>L99*2</f>
        <v>8388608</v>
      </c>
      <c r="L99" s="61">
        <f>M99*2</f>
        <v>4194304</v>
      </c>
      <c r="M99" s="61">
        <f>N99*2</f>
        <v>2097152</v>
      </c>
      <c r="N99" s="61">
        <f>O99*2</f>
        <v>1048576</v>
      </c>
      <c r="O99" s="61">
        <f>P99*2</f>
        <v>524288</v>
      </c>
      <c r="P99" s="61">
        <f>Q99*2</f>
        <v>262144</v>
      </c>
      <c r="Q99" s="61">
        <f>R99*2</f>
        <v>131072</v>
      </c>
      <c r="R99" s="87">
        <f>S99*2</f>
        <v>65536</v>
      </c>
      <c r="S99" s="95">
        <f>T99*2</f>
        <v>32768</v>
      </c>
      <c r="T99" s="61">
        <f>U99*2</f>
        <v>16384</v>
      </c>
      <c r="U99" s="61">
        <f>V99*2</f>
        <v>8192</v>
      </c>
      <c r="V99" s="61">
        <f>W99*2</f>
        <v>4096</v>
      </c>
      <c r="W99" s="61">
        <f>X99*2</f>
        <v>2048</v>
      </c>
      <c r="X99" s="61">
        <f>Y99*2</f>
        <v>1024</v>
      </c>
      <c r="Y99" s="61">
        <f>Z99*2</f>
        <v>512</v>
      </c>
      <c r="Z99" s="87">
        <f>AA99*2</f>
        <v>256</v>
      </c>
      <c r="AA99" s="61">
        <f>AB99*2</f>
        <v>128</v>
      </c>
      <c r="AB99" s="61">
        <f>AC99*2</f>
        <v>64</v>
      </c>
      <c r="AC99" s="61">
        <f>AD99*2</f>
        <v>32</v>
      </c>
      <c r="AD99" s="61">
        <f>AE99*2</f>
        <v>16</v>
      </c>
      <c r="AE99" s="61">
        <f>AF99*2</f>
        <v>8</v>
      </c>
      <c r="AF99" s="61">
        <f>AG99*2</f>
        <v>4</v>
      </c>
      <c r="AG99" s="61">
        <f>AH99*2</f>
        <v>2</v>
      </c>
      <c r="AH99" s="76">
        <v>1</v>
      </c>
      <c r="AI99" s="55"/>
    </row>
    <row r="100" spans="2:35">
      <c r="B100" s="99"/>
      <c r="C100" s="77">
        <f>C90+1</f>
        <v>10</v>
      </c>
      <c r="D100" s="62"/>
      <c r="E100" s="62"/>
      <c r="F100" s="62"/>
      <c r="G100" s="62" t="str">
        <f>CONCATENATE(C100,"th")</f>
        <v>10th</v>
      </c>
      <c r="H100" s="62"/>
      <c r="I100" s="62"/>
      <c r="J100" s="88"/>
      <c r="K100" s="92"/>
      <c r="L100" s="58"/>
      <c r="M100" s="58"/>
      <c r="N100" s="58"/>
      <c r="O100" s="58"/>
      <c r="P100" s="58"/>
      <c r="Q100" s="58"/>
      <c r="R100" s="84"/>
      <c r="S100" s="92"/>
      <c r="T100" s="58"/>
      <c r="U100" s="58"/>
      <c r="V100" s="58"/>
      <c r="W100" s="58"/>
      <c r="X100" s="58"/>
      <c r="Y100" s="58"/>
      <c r="Z100" s="84"/>
      <c r="AA100" s="58"/>
      <c r="AB100" s="58"/>
      <c r="AC100" s="58"/>
      <c r="AD100" s="58"/>
      <c r="AE100" s="58"/>
      <c r="AF100" s="58"/>
      <c r="AG100" s="58"/>
      <c r="AH100" s="70"/>
      <c r="AI100" s="55"/>
    </row>
    <row r="101" spans="2:35" ht="15.75" thickBot="1">
      <c r="B101" s="100"/>
      <c r="C101" s="78" t="str">
        <f>IF(OR(VariableLengthSubnetMaskCalc.!$D$2="",VariableLengthSubnetMaskCalc.!$D$12="",VariableLengthSubnetMaskCalc.!$D$22="",VariableLengthSubnetMaskCalc.!$D$32="",VariableLengthSubnetMaskCalc.!$D$42="",VariableLengthSubnetMaskCalc.!$D$52="",VariableLengthSubnetMaskCalc.!$D$62="",VariableLengthSubnetMaskCalc.!$D$72="",VariableLengthSubnetMaskCalc.!$D$82="",VariableLengthSubnetMaskCalc.!$D$92=""),"",VariableLengthSubnetMaskCalc.!D92)</f>
        <v/>
      </c>
      <c r="D101" s="79"/>
      <c r="E101" s="79"/>
      <c r="F101" s="79"/>
      <c r="G101" s="79"/>
      <c r="H101" s="79"/>
      <c r="I101" s="79"/>
      <c r="J101" s="89"/>
      <c r="K101" s="96"/>
      <c r="L101" s="80"/>
      <c r="M101" s="80"/>
      <c r="N101" s="80"/>
      <c r="O101" s="80"/>
      <c r="P101" s="80"/>
      <c r="Q101" s="80"/>
      <c r="R101" s="97"/>
      <c r="S101" s="96"/>
      <c r="T101" s="80"/>
      <c r="U101" s="80"/>
      <c r="V101" s="80"/>
      <c r="W101" s="80"/>
      <c r="X101" s="80"/>
      <c r="Y101" s="80"/>
      <c r="Z101" s="97"/>
      <c r="AA101" s="80"/>
      <c r="AB101" s="80"/>
      <c r="AC101" s="80"/>
      <c r="AD101" s="80"/>
      <c r="AE101" s="80"/>
      <c r="AF101" s="80"/>
      <c r="AG101" s="80"/>
      <c r="AH101" s="81"/>
      <c r="AI101" s="55"/>
    </row>
    <row r="102" spans="2:35" ht="15" customHeight="1">
      <c r="B102" s="98" t="str">
        <f>VariableLengthSubnetMaskCalc.!B102</f>
        <v>11th
Network</v>
      </c>
      <c r="C102" s="64">
        <f>IF(VariableLengthSubnetMaskCalc.!D103&gt;C109,0,1)</f>
        <v>0</v>
      </c>
      <c r="D102" s="65">
        <f>IF(VariableLengthSubnetMaskCalc.!D103&gt;D109,0,1)</f>
        <v>0</v>
      </c>
      <c r="E102" s="65">
        <f>IF(VariableLengthSubnetMaskCalc.!D103&gt;E109,0,1)</f>
        <v>0</v>
      </c>
      <c r="F102" s="65">
        <f>IF(VariableLengthSubnetMaskCalc.!D103&gt;F109,0,1)</f>
        <v>0</v>
      </c>
      <c r="G102" s="65">
        <f>IF(VariableLengthSubnetMaskCalc.!D103&gt;G109,0,1)</f>
        <v>0</v>
      </c>
      <c r="H102" s="65">
        <f>IF(VariableLengthSubnetMaskCalc.!D103&gt;H109,0,1)</f>
        <v>0</v>
      </c>
      <c r="I102" s="65">
        <f>IF(VariableLengthSubnetMaskCalc.!D103&gt;I109,0,1)</f>
        <v>0</v>
      </c>
      <c r="J102" s="82">
        <f>IF(VariableLengthSubnetMaskCalc.!D103&gt;J109,0,1)</f>
        <v>0</v>
      </c>
      <c r="K102" s="90">
        <f>IF(VariableLengthSubnetMaskCalc.!D103&gt;K109,0,1)</f>
        <v>0</v>
      </c>
      <c r="L102" s="65">
        <f>IF(VariableLengthSubnetMaskCalc.!D103&gt;L109,0,1)</f>
        <v>0</v>
      </c>
      <c r="M102" s="65">
        <f>IF(VariableLengthSubnetMaskCalc.!D103&gt;M109,0,1)</f>
        <v>0</v>
      </c>
      <c r="N102" s="65">
        <f>IF(VariableLengthSubnetMaskCalc.!D103&gt;N109,0,1)</f>
        <v>0</v>
      </c>
      <c r="O102" s="65">
        <f>IF(VariableLengthSubnetMaskCalc.!D103&gt;O109,0,1)</f>
        <v>0</v>
      </c>
      <c r="P102" s="65">
        <f>IF(VariableLengthSubnetMaskCalc.!D103&gt;P109,0,1)</f>
        <v>0</v>
      </c>
      <c r="Q102" s="65">
        <f>IF(VariableLengthSubnetMaskCalc.!D103&gt;Q109,0,1)</f>
        <v>0</v>
      </c>
      <c r="R102" s="82">
        <f>IF(VariableLengthSubnetMaskCalc.!D103&gt;R109,0,1)</f>
        <v>0</v>
      </c>
      <c r="S102" s="90">
        <f>IF(VariableLengthSubnetMaskCalc.!D103&gt;S109,0,1)</f>
        <v>0</v>
      </c>
      <c r="T102" s="65">
        <f>IF(VariableLengthSubnetMaskCalc.!D103&gt;T109,0,1)</f>
        <v>0</v>
      </c>
      <c r="U102" s="65">
        <f>IF(VariableLengthSubnetMaskCalc.!D103&gt;U109,0,1)</f>
        <v>0</v>
      </c>
      <c r="V102" s="65">
        <f>IF(VariableLengthSubnetMaskCalc.!D103&gt;V109,0,1)</f>
        <v>0</v>
      </c>
      <c r="W102" s="65">
        <f>IF(VariableLengthSubnetMaskCalc.!D103&gt;W109,0,1)</f>
        <v>0</v>
      </c>
      <c r="X102" s="65">
        <f>IF(VariableLengthSubnetMaskCalc.!D103&gt;X109,0,1)</f>
        <v>0</v>
      </c>
      <c r="Y102" s="65">
        <f>IF(VariableLengthSubnetMaskCalc.!D103&gt;Y109,0,1)</f>
        <v>0</v>
      </c>
      <c r="Z102" s="82">
        <f>IF(VariableLengthSubnetMaskCalc.!D103&gt;Z109,0,1)</f>
        <v>0</v>
      </c>
      <c r="AA102" s="65">
        <f>IF(VariableLengthSubnetMaskCalc.!D103&gt;AA109,0,1)</f>
        <v>0</v>
      </c>
      <c r="AB102" s="65">
        <f>IF(VariableLengthSubnetMaskCalc.!D103&gt;AB109,0,1)</f>
        <v>0</v>
      </c>
      <c r="AC102" s="65">
        <f>IF(VariableLengthSubnetMaskCalc.!D103&gt;AC109,0,1)</f>
        <v>0</v>
      </c>
      <c r="AD102" s="65">
        <f>IF(VariableLengthSubnetMaskCalc.!D103&gt;AD109,0,1)</f>
        <v>0</v>
      </c>
      <c r="AE102" s="65">
        <f>IF(VariableLengthSubnetMaskCalc.!D103&gt;AE109,0,1)</f>
        <v>0</v>
      </c>
      <c r="AF102" s="65">
        <f>IF(VariableLengthSubnetMaskCalc.!D103&gt;AF109,0,1)</f>
        <v>0</v>
      </c>
      <c r="AG102" s="65">
        <f>IF(VariableLengthSubnetMaskCalc.!D103&gt;AG109,0,1)</f>
        <v>0</v>
      </c>
      <c r="AH102" s="66">
        <f>IF(VariableLengthSubnetMaskCalc.!D103&gt;AH109,0,1)</f>
        <v>0</v>
      </c>
      <c r="AI102" s="55"/>
    </row>
    <row r="103" spans="2:35">
      <c r="B103" s="99"/>
      <c r="C103" s="67">
        <f>IF(C102=1,0,1)</f>
        <v>1</v>
      </c>
      <c r="D103" s="57">
        <f>IF(D102=1,0,1)</f>
        <v>1</v>
      </c>
      <c r="E103" s="57">
        <f>IF(E102=1,0,1)</f>
        <v>1</v>
      </c>
      <c r="F103" s="57">
        <f>IF(F102=1,0,1)</f>
        <v>1</v>
      </c>
      <c r="G103" s="57">
        <f>IF(G102=1,0,1)</f>
        <v>1</v>
      </c>
      <c r="H103" s="57">
        <f>IF(H102=1,0,1)</f>
        <v>1</v>
      </c>
      <c r="I103" s="57">
        <f>IF(I102=1,0,1)</f>
        <v>1</v>
      </c>
      <c r="J103" s="83">
        <f>IF(J102=1,0,1)</f>
        <v>1</v>
      </c>
      <c r="K103" s="91">
        <f>IF(K102=1,0,1)</f>
        <v>1</v>
      </c>
      <c r="L103" s="57">
        <f>IF(L102=1,0,1)</f>
        <v>1</v>
      </c>
      <c r="M103" s="57">
        <f>IF(M102=1,0,1)</f>
        <v>1</v>
      </c>
      <c r="N103" s="57">
        <f>IF(N102=1,0,1)</f>
        <v>1</v>
      </c>
      <c r="O103" s="57">
        <f>IF(O102=1,0,1)</f>
        <v>1</v>
      </c>
      <c r="P103" s="57">
        <f>IF(P102=1,0,1)</f>
        <v>1</v>
      </c>
      <c r="Q103" s="57">
        <f>IF(Q102=1,0,1)</f>
        <v>1</v>
      </c>
      <c r="R103" s="83">
        <f>IF(R102=1,0,1)</f>
        <v>1</v>
      </c>
      <c r="S103" s="91">
        <f>IF(S102=1,0,1)</f>
        <v>1</v>
      </c>
      <c r="T103" s="57">
        <f>IF(T102=1,0,1)</f>
        <v>1</v>
      </c>
      <c r="U103" s="57">
        <f>IF(U102=1,0,1)</f>
        <v>1</v>
      </c>
      <c r="V103" s="57">
        <f>IF(V102=1,0,1)</f>
        <v>1</v>
      </c>
      <c r="W103" s="57">
        <f>IF(W102=1,0,1)</f>
        <v>1</v>
      </c>
      <c r="X103" s="57">
        <f>IF(X102=1,0,1)</f>
        <v>1</v>
      </c>
      <c r="Y103" s="57">
        <f>IF(Y102=1,0,1)</f>
        <v>1</v>
      </c>
      <c r="Z103" s="83">
        <f>IF(Z102=1,0,1)</f>
        <v>1</v>
      </c>
      <c r="AA103" s="57">
        <f>IF(AA102=1,0,1)</f>
        <v>1</v>
      </c>
      <c r="AB103" s="57">
        <f>IF(AB102=1,0,1)</f>
        <v>1</v>
      </c>
      <c r="AC103" s="57">
        <f>IF(AC102=1,0,1)</f>
        <v>1</v>
      </c>
      <c r="AD103" s="57">
        <f>IF(AD102=1,0,1)</f>
        <v>1</v>
      </c>
      <c r="AE103" s="57">
        <f>IF(AE102=1,0,1)</f>
        <v>1</v>
      </c>
      <c r="AF103" s="57">
        <f>IF(AF102=1,0,1)</f>
        <v>1</v>
      </c>
      <c r="AG103" s="57">
        <f>IF(AG102=1,0,1)</f>
        <v>1</v>
      </c>
      <c r="AH103" s="68">
        <f>IF(AH102=1,0,1)</f>
        <v>1</v>
      </c>
      <c r="AI103" s="55"/>
    </row>
    <row r="104" spans="2:35">
      <c r="B104" s="99"/>
      <c r="C104" s="69"/>
      <c r="D104" s="58"/>
      <c r="E104" s="58"/>
      <c r="F104" s="58"/>
      <c r="G104" s="58"/>
      <c r="H104" s="58"/>
      <c r="I104" s="58"/>
      <c r="J104" s="84"/>
      <c r="K104" s="92"/>
      <c r="L104" s="58"/>
      <c r="M104" s="58"/>
      <c r="N104" s="58"/>
      <c r="O104" s="58"/>
      <c r="P104" s="58"/>
      <c r="Q104" s="58"/>
      <c r="R104" s="84"/>
      <c r="S104" s="92"/>
      <c r="T104" s="58"/>
      <c r="U104" s="58"/>
      <c r="V104" s="58"/>
      <c r="W104" s="58"/>
      <c r="X104" s="58"/>
      <c r="Y104" s="58"/>
      <c r="Z104" s="84"/>
      <c r="AA104" s="58"/>
      <c r="AB104" s="58"/>
      <c r="AC104" s="58"/>
      <c r="AD104" s="58"/>
      <c r="AE104" s="58"/>
      <c r="AF104" s="58"/>
      <c r="AG104" s="58"/>
      <c r="AH104" s="70"/>
      <c r="AI104" s="55"/>
    </row>
    <row r="105" spans="2:35">
      <c r="B105" s="99"/>
      <c r="C105" s="71" t="str">
        <f>CONCATENATE(C102,D102,E102,F102,G102,H102,I102,J102)</f>
        <v>00000000</v>
      </c>
      <c r="D105" s="59"/>
      <c r="E105" s="59"/>
      <c r="F105" s="59"/>
      <c r="G105" s="59">
        <f>BIN2DEC(C105)</f>
        <v>0</v>
      </c>
      <c r="H105" s="59"/>
      <c r="I105" s="59"/>
      <c r="J105" s="85"/>
      <c r="K105" s="93" t="str">
        <f>CONCATENATE(K102,L102,M102,N102,O102,P102,Q102,R102)</f>
        <v>00000000</v>
      </c>
      <c r="L105" s="59"/>
      <c r="M105" s="59"/>
      <c r="N105" s="59"/>
      <c r="O105" s="59">
        <f>BIN2DEC(K105)</f>
        <v>0</v>
      </c>
      <c r="P105" s="59"/>
      <c r="Q105" s="59"/>
      <c r="R105" s="85"/>
      <c r="S105" s="93" t="str">
        <f>CONCATENATE(S102,T102,U102,V102,W102,X102,Y102,Z102)</f>
        <v>00000000</v>
      </c>
      <c r="T105" s="59"/>
      <c r="U105" s="59"/>
      <c r="V105" s="59"/>
      <c r="W105" s="59">
        <f>BIN2DEC(S105)</f>
        <v>0</v>
      </c>
      <c r="X105" s="59"/>
      <c r="Y105" s="59"/>
      <c r="Z105" s="85"/>
      <c r="AA105" s="59" t="str">
        <f>CONCATENATE(AA102,AB102,AC102,AD102,AE102,AF102,AG102,AH102)</f>
        <v>00000000</v>
      </c>
      <c r="AB105" s="59"/>
      <c r="AC105" s="59"/>
      <c r="AD105" s="59"/>
      <c r="AE105" s="59">
        <f>BIN2DEC(AA105)</f>
        <v>0</v>
      </c>
      <c r="AF105" s="59"/>
      <c r="AG105" s="59"/>
      <c r="AH105" s="72"/>
      <c r="AI105" s="55"/>
    </row>
    <row r="106" spans="2:35">
      <c r="B106" s="99"/>
      <c r="C106" s="71" t="str">
        <f>CONCATENATE(C103,D103,E103,F103,G103,H103,I103,J103,)</f>
        <v>11111111</v>
      </c>
      <c r="D106" s="59"/>
      <c r="E106" s="59"/>
      <c r="F106" s="59"/>
      <c r="G106" s="59">
        <f>BIN2DEC(C106)</f>
        <v>255</v>
      </c>
      <c r="H106" s="59"/>
      <c r="I106" s="59"/>
      <c r="J106" s="85"/>
      <c r="K106" s="93" t="str">
        <f>CONCATENATE(K103,L103,M103,N103,O103,P103,Q103,R103,)</f>
        <v>11111111</v>
      </c>
      <c r="L106" s="59"/>
      <c r="M106" s="59"/>
      <c r="N106" s="59"/>
      <c r="O106" s="59">
        <f>BIN2DEC(K106)</f>
        <v>255</v>
      </c>
      <c r="P106" s="59"/>
      <c r="Q106" s="59"/>
      <c r="R106" s="85"/>
      <c r="S106" s="93" t="str">
        <f>CONCATENATE(S103,T103,U103,V103,W103,X103,Y103,Z103,)</f>
        <v>11111111</v>
      </c>
      <c r="T106" s="59"/>
      <c r="U106" s="59"/>
      <c r="V106" s="59"/>
      <c r="W106" s="59">
        <f>BIN2DEC(S106)</f>
        <v>255</v>
      </c>
      <c r="X106" s="59"/>
      <c r="Y106" s="59"/>
      <c r="Z106" s="85"/>
      <c r="AA106" s="59" t="str">
        <f>CONCATENATE(AA103,AB103,AC103,AD103,AE103,AF103,AG103,AH103,)</f>
        <v>11111111</v>
      </c>
      <c r="AB106" s="59"/>
      <c r="AC106" s="59"/>
      <c r="AD106" s="59"/>
      <c r="AE106" s="59">
        <f>BIN2DEC(AA106)</f>
        <v>255</v>
      </c>
      <c r="AF106" s="59"/>
      <c r="AG106" s="59"/>
      <c r="AH106" s="72"/>
      <c r="AI106" s="55"/>
    </row>
    <row r="107" spans="2:35">
      <c r="B107" s="99"/>
      <c r="C107" s="73" t="b">
        <f>AND(VariableLengthSubnetMaskCalc.!D102+2&lt;C109,VariableLengthSubnetMaskCalc.!D102+2&gt;D109)</f>
        <v>0</v>
      </c>
      <c r="D107" s="60" t="b">
        <f>AND(VariableLengthSubnetMaskCalc.!D102+2&lt;D109,VariableLengthSubnetMaskCalc.!D102+2&gt;E109)</f>
        <v>0</v>
      </c>
      <c r="E107" s="60" t="b">
        <f>AND(VariableLengthSubnetMaskCalc.!D102+2&lt;E109,VariableLengthSubnetMaskCalc.!D102+2&gt;F109)</f>
        <v>0</v>
      </c>
      <c r="F107" s="60" t="b">
        <f>AND(VariableLengthSubnetMaskCalc.!D102+2&lt;F109,VariableLengthSubnetMaskCalc.!D102+2&gt;G109)</f>
        <v>0</v>
      </c>
      <c r="G107" s="60" t="b">
        <f>AND(VariableLengthSubnetMaskCalc.!D102+2&lt;G109,VariableLengthSubnetMaskCalc.!D102+2&gt;H109)</f>
        <v>0</v>
      </c>
      <c r="H107" s="60" t="b">
        <f>AND(VariableLengthSubnetMaskCalc.!D102+2&lt;H109,VariableLengthSubnetMaskCalc.!D102+2&gt;I109)</f>
        <v>0</v>
      </c>
      <c r="I107" s="60" t="b">
        <f>AND(VariableLengthSubnetMaskCalc.!D102+2&lt;I109,VariableLengthSubnetMaskCalc.!D102+2&gt;J109)</f>
        <v>0</v>
      </c>
      <c r="J107" s="86" t="b">
        <f>AND(VariableLengthSubnetMaskCalc.!D102+2&lt;J109,VariableLengthSubnetMaskCalc.!D102+2&gt;K109)</f>
        <v>0</v>
      </c>
      <c r="K107" s="94" t="b">
        <f>AND(VariableLengthSubnetMaskCalc.!D102+2&lt;K109,VariableLengthSubnetMaskCalc.!D102+2&gt;L109)</f>
        <v>0</v>
      </c>
      <c r="L107" s="60" t="b">
        <f>AND(VariableLengthSubnetMaskCalc.!D102+2&lt;L109,VariableLengthSubnetMaskCalc.!D102+2&gt;M109)</f>
        <v>0</v>
      </c>
      <c r="M107" s="60" t="b">
        <f>AND(VariableLengthSubnetMaskCalc.!D102+2&lt;M109,VariableLengthSubnetMaskCalc.!D102+2&gt;N109)</f>
        <v>0</v>
      </c>
      <c r="N107" s="60" t="b">
        <f>AND(VariableLengthSubnetMaskCalc.!D102+2&lt;N109,VariableLengthSubnetMaskCalc.!D102+2&gt;O109)</f>
        <v>0</v>
      </c>
      <c r="O107" s="60" t="b">
        <f>AND(VariableLengthSubnetMaskCalc.!D102+2&lt;O109,VariableLengthSubnetMaskCalc.!D102+2&gt;P109)</f>
        <v>0</v>
      </c>
      <c r="P107" s="60" t="b">
        <f>AND(VariableLengthSubnetMaskCalc.!D102+2&lt;P109,VariableLengthSubnetMaskCalc.!D102+2&gt;Q109)</f>
        <v>0</v>
      </c>
      <c r="Q107" s="60" t="b">
        <f>AND(VariableLengthSubnetMaskCalc.!D102+2&lt;Q109,VariableLengthSubnetMaskCalc.!D102+2&gt;R109)</f>
        <v>0</v>
      </c>
      <c r="R107" s="86" t="b">
        <f>AND(VariableLengthSubnetMaskCalc.!D102+2&lt;R109,VariableLengthSubnetMaskCalc.!D102+2&gt;S109)</f>
        <v>0</v>
      </c>
      <c r="S107" s="94" t="b">
        <f>AND(VariableLengthSubnetMaskCalc.!D102+2&lt;S109,VariableLengthSubnetMaskCalc.!D102+2&gt;T109)</f>
        <v>0</v>
      </c>
      <c r="T107" s="60" t="b">
        <f>AND(VariableLengthSubnetMaskCalc.!D102+2&lt;T109,VariableLengthSubnetMaskCalc.!D102+2&gt;U109)</f>
        <v>0</v>
      </c>
      <c r="U107" s="60" t="b">
        <f>AND(VariableLengthSubnetMaskCalc.!D102+2&lt;U109,VariableLengthSubnetMaskCalc.!D102+2&gt;V109)</f>
        <v>0</v>
      </c>
      <c r="V107" s="60" t="b">
        <f>AND(VariableLengthSubnetMaskCalc.!D102+2&lt;V109,VariableLengthSubnetMaskCalc.!D102+2&gt;W109)</f>
        <v>0</v>
      </c>
      <c r="W107" s="60" t="b">
        <f>AND(VariableLengthSubnetMaskCalc.!D102+2&lt;W109,VariableLengthSubnetMaskCalc.!D102+2&gt;X109)</f>
        <v>0</v>
      </c>
      <c r="X107" s="60" t="b">
        <f>AND(VariableLengthSubnetMaskCalc.!D102+2&lt;X109,VariableLengthSubnetMaskCalc.!D102+2&gt;Y109)</f>
        <v>0</v>
      </c>
      <c r="Y107" s="60" t="b">
        <f>AND(VariableLengthSubnetMaskCalc.!D102+2&lt;Y109,VariableLengthSubnetMaskCalc.!D102+2&gt;Z109)</f>
        <v>0</v>
      </c>
      <c r="Z107" s="86" t="b">
        <f>AND(VariableLengthSubnetMaskCalc.!D102+2&lt;Z109,VariableLengthSubnetMaskCalc.!D102+2&gt;AA109)</f>
        <v>0</v>
      </c>
      <c r="AA107" s="60" t="b">
        <f>AND(VariableLengthSubnetMaskCalc.!D102+2&lt;AA109,VariableLengthSubnetMaskCalc.!D102+2&gt;AB109)</f>
        <v>0</v>
      </c>
      <c r="AB107" s="60" t="b">
        <f>AND(VariableLengthSubnetMaskCalc.!D102+2&lt;AB109,VariableLengthSubnetMaskCalc.!D102+2&gt;AC109)</f>
        <v>0</v>
      </c>
      <c r="AC107" s="60" t="b">
        <f>AND(VariableLengthSubnetMaskCalc.!D102+2&lt;AC109,VariableLengthSubnetMaskCalc.!D102+2&gt;AD109)</f>
        <v>0</v>
      </c>
      <c r="AD107" s="60" t="b">
        <f>AND(VariableLengthSubnetMaskCalc.!D102+2&lt;AD109,VariableLengthSubnetMaskCalc.!D102+2&gt;AE109)</f>
        <v>0</v>
      </c>
      <c r="AE107" s="60" t="b">
        <f>AND(VariableLengthSubnetMaskCalc.!D102+2&lt;AE109,VariableLengthSubnetMaskCalc.!D102+2&gt;AF109)</f>
        <v>0</v>
      </c>
      <c r="AF107" s="60" t="b">
        <f>AND(VariableLengthSubnetMaskCalc.!D102+2&lt;AF109,VariableLengthSubnetMaskCalc.!D102+2&gt;AG109)</f>
        <v>0</v>
      </c>
      <c r="AG107" s="60" t="b">
        <f>AND(VariableLengthSubnetMaskCalc.!D102+2&lt;AG109,VariableLengthSubnetMaskCalc.!D102+2&gt;AH109)</f>
        <v>0</v>
      </c>
      <c r="AH107" s="74" t="b">
        <f>AND(VariableLengthSubnetMaskCalc.!D102+2&lt;AH109,VariableLengthSubnetMaskCalc.!D102+2&gt;0)</f>
        <v>0</v>
      </c>
      <c r="AI107" s="55"/>
    </row>
    <row r="108" spans="2:35">
      <c r="B108" s="99"/>
      <c r="C108" s="75">
        <f>AA109</f>
        <v>128</v>
      </c>
      <c r="D108" s="61">
        <f>AB109</f>
        <v>64</v>
      </c>
      <c r="E108" s="61">
        <f>AC109</f>
        <v>32</v>
      </c>
      <c r="F108" s="61">
        <f>AD109</f>
        <v>16</v>
      </c>
      <c r="G108" s="61">
        <f>AE109</f>
        <v>8</v>
      </c>
      <c r="H108" s="61">
        <f>AF109</f>
        <v>4</v>
      </c>
      <c r="I108" s="61">
        <f>AG109</f>
        <v>2</v>
      </c>
      <c r="J108" s="87">
        <f>AH109</f>
        <v>1</v>
      </c>
      <c r="K108" s="95">
        <f>AA109</f>
        <v>128</v>
      </c>
      <c r="L108" s="61">
        <f>AB109</f>
        <v>64</v>
      </c>
      <c r="M108" s="61">
        <f>AC109</f>
        <v>32</v>
      </c>
      <c r="N108" s="61">
        <f>AD109</f>
        <v>16</v>
      </c>
      <c r="O108" s="61">
        <f>AE109</f>
        <v>8</v>
      </c>
      <c r="P108" s="61">
        <f>AF109</f>
        <v>4</v>
      </c>
      <c r="Q108" s="61">
        <f>AG109</f>
        <v>2</v>
      </c>
      <c r="R108" s="87">
        <f>AH109</f>
        <v>1</v>
      </c>
      <c r="S108" s="95">
        <f>AA109</f>
        <v>128</v>
      </c>
      <c r="T108" s="61">
        <f>AB109</f>
        <v>64</v>
      </c>
      <c r="U108" s="61">
        <f>AC109</f>
        <v>32</v>
      </c>
      <c r="V108" s="61">
        <f>AD109</f>
        <v>16</v>
      </c>
      <c r="W108" s="61">
        <f>AE109</f>
        <v>8</v>
      </c>
      <c r="X108" s="61">
        <f>AF109</f>
        <v>4</v>
      </c>
      <c r="Y108" s="61">
        <f>AG109</f>
        <v>2</v>
      </c>
      <c r="Z108" s="87">
        <f>AH109</f>
        <v>1</v>
      </c>
      <c r="AA108" s="61">
        <f>AA109</f>
        <v>128</v>
      </c>
      <c r="AB108" s="61">
        <f>AB109</f>
        <v>64</v>
      </c>
      <c r="AC108" s="61">
        <f>AC109</f>
        <v>32</v>
      </c>
      <c r="AD108" s="61">
        <f>AD109</f>
        <v>16</v>
      </c>
      <c r="AE108" s="61">
        <f>AE109</f>
        <v>8</v>
      </c>
      <c r="AF108" s="61">
        <f>AF109</f>
        <v>4</v>
      </c>
      <c r="AG108" s="61">
        <f>AG109</f>
        <v>2</v>
      </c>
      <c r="AH108" s="76">
        <f>AH109</f>
        <v>1</v>
      </c>
      <c r="AI108" s="55"/>
    </row>
    <row r="109" spans="2:35">
      <c r="B109" s="99"/>
      <c r="C109" s="75">
        <f>D109*2</f>
        <v>2147483648</v>
      </c>
      <c r="D109" s="61">
        <f>E109*2</f>
        <v>1073741824</v>
      </c>
      <c r="E109" s="61">
        <f>F109*2</f>
        <v>536870912</v>
      </c>
      <c r="F109" s="61">
        <f>G109*2</f>
        <v>268435456</v>
      </c>
      <c r="G109" s="61">
        <f>H109*2</f>
        <v>134217728</v>
      </c>
      <c r="H109" s="61">
        <f>I109*2</f>
        <v>67108864</v>
      </c>
      <c r="I109" s="61">
        <f>J109*2</f>
        <v>33554432</v>
      </c>
      <c r="J109" s="87">
        <f>K109*2</f>
        <v>16777216</v>
      </c>
      <c r="K109" s="95">
        <f>L109*2</f>
        <v>8388608</v>
      </c>
      <c r="L109" s="61">
        <f>M109*2</f>
        <v>4194304</v>
      </c>
      <c r="M109" s="61">
        <f>N109*2</f>
        <v>2097152</v>
      </c>
      <c r="N109" s="61">
        <f>O109*2</f>
        <v>1048576</v>
      </c>
      <c r="O109" s="61">
        <f>P109*2</f>
        <v>524288</v>
      </c>
      <c r="P109" s="61">
        <f>Q109*2</f>
        <v>262144</v>
      </c>
      <c r="Q109" s="61">
        <f>R109*2</f>
        <v>131072</v>
      </c>
      <c r="R109" s="87">
        <f>S109*2</f>
        <v>65536</v>
      </c>
      <c r="S109" s="95">
        <f>T109*2</f>
        <v>32768</v>
      </c>
      <c r="T109" s="61">
        <f>U109*2</f>
        <v>16384</v>
      </c>
      <c r="U109" s="61">
        <f>V109*2</f>
        <v>8192</v>
      </c>
      <c r="V109" s="61">
        <f>W109*2</f>
        <v>4096</v>
      </c>
      <c r="W109" s="61">
        <f>X109*2</f>
        <v>2048</v>
      </c>
      <c r="X109" s="61">
        <f>Y109*2</f>
        <v>1024</v>
      </c>
      <c r="Y109" s="61">
        <f>Z109*2</f>
        <v>512</v>
      </c>
      <c r="Z109" s="87">
        <f>AA109*2</f>
        <v>256</v>
      </c>
      <c r="AA109" s="61">
        <f>AB109*2</f>
        <v>128</v>
      </c>
      <c r="AB109" s="61">
        <f>AC109*2</f>
        <v>64</v>
      </c>
      <c r="AC109" s="61">
        <f>AD109*2</f>
        <v>32</v>
      </c>
      <c r="AD109" s="61">
        <f>AE109*2</f>
        <v>16</v>
      </c>
      <c r="AE109" s="61">
        <f>AF109*2</f>
        <v>8</v>
      </c>
      <c r="AF109" s="61">
        <f>AG109*2</f>
        <v>4</v>
      </c>
      <c r="AG109" s="61">
        <f>AH109*2</f>
        <v>2</v>
      </c>
      <c r="AH109" s="76">
        <v>1</v>
      </c>
      <c r="AI109" s="55"/>
    </row>
    <row r="110" spans="2:35">
      <c r="B110" s="99"/>
      <c r="C110" s="77">
        <f>C100+1</f>
        <v>11</v>
      </c>
      <c r="D110" s="62"/>
      <c r="E110" s="62"/>
      <c r="F110" s="62"/>
      <c r="G110" s="62" t="str">
        <f>CONCATENATE(C110,"th")</f>
        <v>11th</v>
      </c>
      <c r="H110" s="62"/>
      <c r="I110" s="62"/>
      <c r="J110" s="88"/>
      <c r="K110" s="92"/>
      <c r="L110" s="58"/>
      <c r="M110" s="58"/>
      <c r="N110" s="58"/>
      <c r="O110" s="58"/>
      <c r="P110" s="58"/>
      <c r="Q110" s="58"/>
      <c r="R110" s="84"/>
      <c r="S110" s="92"/>
      <c r="T110" s="58"/>
      <c r="U110" s="58"/>
      <c r="V110" s="58"/>
      <c r="W110" s="58"/>
      <c r="X110" s="58"/>
      <c r="Y110" s="58"/>
      <c r="Z110" s="84"/>
      <c r="AA110" s="58"/>
      <c r="AB110" s="58"/>
      <c r="AC110" s="58"/>
      <c r="AD110" s="58"/>
      <c r="AE110" s="58"/>
      <c r="AF110" s="58"/>
      <c r="AG110" s="58"/>
      <c r="AH110" s="70"/>
      <c r="AI110" s="55"/>
    </row>
    <row r="111" spans="2:35" ht="15.75" thickBot="1">
      <c r="B111" s="100"/>
      <c r="C111" s="78" t="str">
        <f>IF(OR(VariableLengthSubnetMaskCalc.!$D$2="",VariableLengthSubnetMaskCalc.!$D$12="",VariableLengthSubnetMaskCalc.!$D$22="",VariableLengthSubnetMaskCalc.!$D$32="",VariableLengthSubnetMaskCalc.!$D$42="",VariableLengthSubnetMaskCalc.!$D$52="",VariableLengthSubnetMaskCalc.!$D$62="",VariableLengthSubnetMaskCalc.!$D$72="",VariableLengthSubnetMaskCalc.!$D$82="",VariableLengthSubnetMaskCalc.!$D$92="",VariableLengthSubnetMaskCalc.!$D$102=""),"",VariableLengthSubnetMaskCalc.!D102)</f>
        <v/>
      </c>
      <c r="D111" s="79"/>
      <c r="E111" s="79"/>
      <c r="F111" s="79"/>
      <c r="G111" s="79"/>
      <c r="H111" s="79"/>
      <c r="I111" s="79"/>
      <c r="J111" s="89"/>
      <c r="K111" s="96"/>
      <c r="L111" s="80"/>
      <c r="M111" s="80"/>
      <c r="N111" s="80"/>
      <c r="O111" s="80"/>
      <c r="P111" s="80"/>
      <c r="Q111" s="80"/>
      <c r="R111" s="97"/>
      <c r="S111" s="96"/>
      <c r="T111" s="80"/>
      <c r="U111" s="80"/>
      <c r="V111" s="80"/>
      <c r="W111" s="80"/>
      <c r="X111" s="80"/>
      <c r="Y111" s="80"/>
      <c r="Z111" s="97"/>
      <c r="AA111" s="80"/>
      <c r="AB111" s="80"/>
      <c r="AC111" s="80"/>
      <c r="AD111" s="80"/>
      <c r="AE111" s="80"/>
      <c r="AF111" s="80"/>
      <c r="AG111" s="80"/>
      <c r="AH111" s="81"/>
      <c r="AI111" s="55"/>
    </row>
    <row r="112" spans="2:35" ht="15" customHeight="1">
      <c r="B112" s="98" t="str">
        <f>VariableLengthSubnetMaskCalc.!B112</f>
        <v>12th
Network</v>
      </c>
      <c r="C112" s="64">
        <f>IF(VariableLengthSubnetMaskCalc.!D113&gt;C119,0,1)</f>
        <v>0</v>
      </c>
      <c r="D112" s="65">
        <f>IF(VariableLengthSubnetMaskCalc.!D113&gt;D119,0,1)</f>
        <v>0</v>
      </c>
      <c r="E112" s="65">
        <f>IF(VariableLengthSubnetMaskCalc.!D113&gt;E119,0,1)</f>
        <v>0</v>
      </c>
      <c r="F112" s="65">
        <f>IF(VariableLengthSubnetMaskCalc.!D113&gt;F119,0,1)</f>
        <v>0</v>
      </c>
      <c r="G112" s="65">
        <f>IF(VariableLengthSubnetMaskCalc.!D113&gt;G119,0,1)</f>
        <v>0</v>
      </c>
      <c r="H112" s="65">
        <f>IF(VariableLengthSubnetMaskCalc.!D113&gt;H119,0,1)</f>
        <v>0</v>
      </c>
      <c r="I112" s="65">
        <f>IF(VariableLengthSubnetMaskCalc.!D113&gt;I119,0,1)</f>
        <v>0</v>
      </c>
      <c r="J112" s="82">
        <f>IF(VariableLengthSubnetMaskCalc.!D113&gt;J119,0,1)</f>
        <v>0</v>
      </c>
      <c r="K112" s="90">
        <f>IF(VariableLengthSubnetMaskCalc.!D113&gt;K119,0,1)</f>
        <v>0</v>
      </c>
      <c r="L112" s="65">
        <f>IF(VariableLengthSubnetMaskCalc.!D113&gt;L119,0,1)</f>
        <v>0</v>
      </c>
      <c r="M112" s="65">
        <f>IF(VariableLengthSubnetMaskCalc.!D113&gt;M119,0,1)</f>
        <v>0</v>
      </c>
      <c r="N112" s="65">
        <f>IF(VariableLengthSubnetMaskCalc.!D113&gt;N119,0,1)</f>
        <v>0</v>
      </c>
      <c r="O112" s="65">
        <f>IF(VariableLengthSubnetMaskCalc.!D113&gt;O119,0,1)</f>
        <v>0</v>
      </c>
      <c r="P112" s="65">
        <f>IF(VariableLengthSubnetMaskCalc.!D113&gt;P119,0,1)</f>
        <v>0</v>
      </c>
      <c r="Q112" s="65">
        <f>IF(VariableLengthSubnetMaskCalc.!D113&gt;Q119,0,1)</f>
        <v>0</v>
      </c>
      <c r="R112" s="82">
        <f>IF(VariableLengthSubnetMaskCalc.!D113&gt;R119,0,1)</f>
        <v>0</v>
      </c>
      <c r="S112" s="90">
        <f>IF(VariableLengthSubnetMaskCalc.!D113&gt;S119,0,1)</f>
        <v>0</v>
      </c>
      <c r="T112" s="65">
        <f>IF(VariableLengthSubnetMaskCalc.!D113&gt;T119,0,1)</f>
        <v>0</v>
      </c>
      <c r="U112" s="65">
        <f>IF(VariableLengthSubnetMaskCalc.!D113&gt;U119,0,1)</f>
        <v>0</v>
      </c>
      <c r="V112" s="65">
        <f>IF(VariableLengthSubnetMaskCalc.!D113&gt;V119,0,1)</f>
        <v>0</v>
      </c>
      <c r="W112" s="65">
        <f>IF(VariableLengthSubnetMaskCalc.!D113&gt;W119,0,1)</f>
        <v>0</v>
      </c>
      <c r="X112" s="65">
        <f>IF(VariableLengthSubnetMaskCalc.!D113&gt;X119,0,1)</f>
        <v>0</v>
      </c>
      <c r="Y112" s="65">
        <f>IF(VariableLengthSubnetMaskCalc.!D113&gt;Y119,0,1)</f>
        <v>0</v>
      </c>
      <c r="Z112" s="82">
        <f>IF(VariableLengthSubnetMaskCalc.!D113&gt;Z119,0,1)</f>
        <v>0</v>
      </c>
      <c r="AA112" s="65">
        <f>IF(VariableLengthSubnetMaskCalc.!D113&gt;AA119,0,1)</f>
        <v>0</v>
      </c>
      <c r="AB112" s="65">
        <f>IF(VariableLengthSubnetMaskCalc.!D113&gt;AB119,0,1)</f>
        <v>0</v>
      </c>
      <c r="AC112" s="65">
        <f>IF(VariableLengthSubnetMaskCalc.!D113&gt;AC119,0,1)</f>
        <v>0</v>
      </c>
      <c r="AD112" s="65">
        <f>IF(VariableLengthSubnetMaskCalc.!D113&gt;AD119,0,1)</f>
        <v>0</v>
      </c>
      <c r="AE112" s="65">
        <f>IF(VariableLengthSubnetMaskCalc.!D113&gt;AE119,0,1)</f>
        <v>0</v>
      </c>
      <c r="AF112" s="65">
        <f>IF(VariableLengthSubnetMaskCalc.!D113&gt;AF119,0,1)</f>
        <v>0</v>
      </c>
      <c r="AG112" s="65">
        <f>IF(VariableLengthSubnetMaskCalc.!D113&gt;AG119,0,1)</f>
        <v>0</v>
      </c>
      <c r="AH112" s="66">
        <f>IF(VariableLengthSubnetMaskCalc.!D113&gt;AH119,0,1)</f>
        <v>0</v>
      </c>
      <c r="AI112" s="55"/>
    </row>
    <row r="113" spans="2:35">
      <c r="B113" s="99"/>
      <c r="C113" s="67">
        <f>IF(C112=1,0,1)</f>
        <v>1</v>
      </c>
      <c r="D113" s="57">
        <f>IF(D112=1,0,1)</f>
        <v>1</v>
      </c>
      <c r="E113" s="57">
        <f>IF(E112=1,0,1)</f>
        <v>1</v>
      </c>
      <c r="F113" s="57">
        <f>IF(F112=1,0,1)</f>
        <v>1</v>
      </c>
      <c r="G113" s="57">
        <f>IF(G112=1,0,1)</f>
        <v>1</v>
      </c>
      <c r="H113" s="57">
        <f>IF(H112=1,0,1)</f>
        <v>1</v>
      </c>
      <c r="I113" s="57">
        <f>IF(I112=1,0,1)</f>
        <v>1</v>
      </c>
      <c r="J113" s="83">
        <f>IF(J112=1,0,1)</f>
        <v>1</v>
      </c>
      <c r="K113" s="91">
        <f>IF(K112=1,0,1)</f>
        <v>1</v>
      </c>
      <c r="L113" s="57">
        <f>IF(L112=1,0,1)</f>
        <v>1</v>
      </c>
      <c r="M113" s="57">
        <f>IF(M112=1,0,1)</f>
        <v>1</v>
      </c>
      <c r="N113" s="57">
        <f>IF(N112=1,0,1)</f>
        <v>1</v>
      </c>
      <c r="O113" s="57">
        <f>IF(O112=1,0,1)</f>
        <v>1</v>
      </c>
      <c r="P113" s="57">
        <f>IF(P112=1,0,1)</f>
        <v>1</v>
      </c>
      <c r="Q113" s="57">
        <f>IF(Q112=1,0,1)</f>
        <v>1</v>
      </c>
      <c r="R113" s="83">
        <f>IF(R112=1,0,1)</f>
        <v>1</v>
      </c>
      <c r="S113" s="91">
        <f>IF(S112=1,0,1)</f>
        <v>1</v>
      </c>
      <c r="T113" s="57">
        <f>IF(T112=1,0,1)</f>
        <v>1</v>
      </c>
      <c r="U113" s="57">
        <f>IF(U112=1,0,1)</f>
        <v>1</v>
      </c>
      <c r="V113" s="57">
        <f>IF(V112=1,0,1)</f>
        <v>1</v>
      </c>
      <c r="W113" s="57">
        <f>IF(W112=1,0,1)</f>
        <v>1</v>
      </c>
      <c r="X113" s="57">
        <f>IF(X112=1,0,1)</f>
        <v>1</v>
      </c>
      <c r="Y113" s="57">
        <f>IF(Y112=1,0,1)</f>
        <v>1</v>
      </c>
      <c r="Z113" s="83">
        <f>IF(Z112=1,0,1)</f>
        <v>1</v>
      </c>
      <c r="AA113" s="57">
        <f>IF(AA112=1,0,1)</f>
        <v>1</v>
      </c>
      <c r="AB113" s="57">
        <f>IF(AB112=1,0,1)</f>
        <v>1</v>
      </c>
      <c r="AC113" s="57">
        <f>IF(AC112=1,0,1)</f>
        <v>1</v>
      </c>
      <c r="AD113" s="57">
        <f>IF(AD112=1,0,1)</f>
        <v>1</v>
      </c>
      <c r="AE113" s="57">
        <f>IF(AE112=1,0,1)</f>
        <v>1</v>
      </c>
      <c r="AF113" s="57">
        <f>IF(AF112=1,0,1)</f>
        <v>1</v>
      </c>
      <c r="AG113" s="57">
        <f>IF(AG112=1,0,1)</f>
        <v>1</v>
      </c>
      <c r="AH113" s="68">
        <f>IF(AH112=1,0,1)</f>
        <v>1</v>
      </c>
      <c r="AI113" s="55"/>
    </row>
    <row r="114" spans="2:35">
      <c r="B114" s="99"/>
      <c r="C114" s="69"/>
      <c r="D114" s="58"/>
      <c r="E114" s="58"/>
      <c r="F114" s="58"/>
      <c r="G114" s="58"/>
      <c r="H114" s="58"/>
      <c r="I114" s="58"/>
      <c r="J114" s="84"/>
      <c r="K114" s="92"/>
      <c r="L114" s="58"/>
      <c r="M114" s="58"/>
      <c r="N114" s="58"/>
      <c r="O114" s="58"/>
      <c r="P114" s="58"/>
      <c r="Q114" s="58"/>
      <c r="R114" s="84"/>
      <c r="S114" s="92"/>
      <c r="T114" s="58"/>
      <c r="U114" s="58"/>
      <c r="V114" s="58"/>
      <c r="W114" s="58"/>
      <c r="X114" s="58"/>
      <c r="Y114" s="58"/>
      <c r="Z114" s="84"/>
      <c r="AA114" s="58"/>
      <c r="AB114" s="58"/>
      <c r="AC114" s="58"/>
      <c r="AD114" s="58"/>
      <c r="AE114" s="58"/>
      <c r="AF114" s="58"/>
      <c r="AG114" s="58"/>
      <c r="AH114" s="70"/>
      <c r="AI114" s="55"/>
    </row>
    <row r="115" spans="2:35">
      <c r="B115" s="99"/>
      <c r="C115" s="71" t="str">
        <f>CONCATENATE(C112,D112,E112,F112,G112,H112,I112,J112)</f>
        <v>00000000</v>
      </c>
      <c r="D115" s="59"/>
      <c r="E115" s="59"/>
      <c r="F115" s="59"/>
      <c r="G115" s="59">
        <f>BIN2DEC(C115)</f>
        <v>0</v>
      </c>
      <c r="H115" s="59"/>
      <c r="I115" s="59"/>
      <c r="J115" s="85"/>
      <c r="K115" s="93" t="str">
        <f>CONCATENATE(K112,L112,M112,N112,O112,P112,Q112,R112)</f>
        <v>00000000</v>
      </c>
      <c r="L115" s="59"/>
      <c r="M115" s="59"/>
      <c r="N115" s="59"/>
      <c r="O115" s="59">
        <f>BIN2DEC(K115)</f>
        <v>0</v>
      </c>
      <c r="P115" s="59"/>
      <c r="Q115" s="59"/>
      <c r="R115" s="85"/>
      <c r="S115" s="93" t="str">
        <f>CONCATENATE(S112,T112,U112,V112,W112,X112,Y112,Z112)</f>
        <v>00000000</v>
      </c>
      <c r="T115" s="59"/>
      <c r="U115" s="59"/>
      <c r="V115" s="59"/>
      <c r="W115" s="59">
        <f>BIN2DEC(S115)</f>
        <v>0</v>
      </c>
      <c r="X115" s="59"/>
      <c r="Y115" s="59"/>
      <c r="Z115" s="85"/>
      <c r="AA115" s="59" t="str">
        <f>CONCATENATE(AA112,AB112,AC112,AD112,AE112,AF112,AG112,AH112)</f>
        <v>00000000</v>
      </c>
      <c r="AB115" s="59"/>
      <c r="AC115" s="59"/>
      <c r="AD115" s="59"/>
      <c r="AE115" s="59">
        <f>BIN2DEC(AA115)</f>
        <v>0</v>
      </c>
      <c r="AF115" s="59"/>
      <c r="AG115" s="59"/>
      <c r="AH115" s="72"/>
      <c r="AI115" s="55"/>
    </row>
    <row r="116" spans="2:35">
      <c r="B116" s="99"/>
      <c r="C116" s="71" t="str">
        <f>CONCATENATE(C113,D113,E113,F113,G113,H113,I113,J113,)</f>
        <v>11111111</v>
      </c>
      <c r="D116" s="59"/>
      <c r="E116" s="59"/>
      <c r="F116" s="59"/>
      <c r="G116" s="59">
        <f>BIN2DEC(C116)</f>
        <v>255</v>
      </c>
      <c r="H116" s="59"/>
      <c r="I116" s="59"/>
      <c r="J116" s="85"/>
      <c r="K116" s="93" t="str">
        <f>CONCATENATE(K113,L113,M113,N113,O113,P113,Q113,R113,)</f>
        <v>11111111</v>
      </c>
      <c r="L116" s="59"/>
      <c r="M116" s="59"/>
      <c r="N116" s="59"/>
      <c r="O116" s="59">
        <f>BIN2DEC(K116)</f>
        <v>255</v>
      </c>
      <c r="P116" s="59"/>
      <c r="Q116" s="59"/>
      <c r="R116" s="85"/>
      <c r="S116" s="93" t="str">
        <f>CONCATENATE(S113,T113,U113,V113,W113,X113,Y113,Z113,)</f>
        <v>11111111</v>
      </c>
      <c r="T116" s="59"/>
      <c r="U116" s="59"/>
      <c r="V116" s="59"/>
      <c r="W116" s="59">
        <f>BIN2DEC(S116)</f>
        <v>255</v>
      </c>
      <c r="X116" s="59"/>
      <c r="Y116" s="59"/>
      <c r="Z116" s="85"/>
      <c r="AA116" s="59" t="str">
        <f>CONCATENATE(AA113,AB113,AC113,AD113,AE113,AF113,AG113,AH113,)</f>
        <v>11111111</v>
      </c>
      <c r="AB116" s="59"/>
      <c r="AC116" s="59"/>
      <c r="AD116" s="59"/>
      <c r="AE116" s="59">
        <f>BIN2DEC(AA116)</f>
        <v>255</v>
      </c>
      <c r="AF116" s="59"/>
      <c r="AG116" s="59"/>
      <c r="AH116" s="72"/>
      <c r="AI116" s="55"/>
    </row>
    <row r="117" spans="2:35">
      <c r="B117" s="99"/>
      <c r="C117" s="73" t="b">
        <f>AND(VariableLengthSubnetMaskCalc.!D112+2&lt;C119,VariableLengthSubnetMaskCalc.!D112+2&gt;D119)</f>
        <v>0</v>
      </c>
      <c r="D117" s="60" t="b">
        <f>AND(VariableLengthSubnetMaskCalc.!D112+2&lt;D119,VariableLengthSubnetMaskCalc.!D112+2&gt;E119)</f>
        <v>0</v>
      </c>
      <c r="E117" s="60" t="b">
        <f>AND(VariableLengthSubnetMaskCalc.!D112+2&lt;E119,VariableLengthSubnetMaskCalc.!D112+2&gt;F119)</f>
        <v>0</v>
      </c>
      <c r="F117" s="60" t="b">
        <f>AND(VariableLengthSubnetMaskCalc.!D112+2&lt;F119,VariableLengthSubnetMaskCalc.!D112+2&gt;G119)</f>
        <v>0</v>
      </c>
      <c r="G117" s="60" t="b">
        <f>AND(VariableLengthSubnetMaskCalc.!D112+2&lt;G119,VariableLengthSubnetMaskCalc.!D112+2&gt;H119)</f>
        <v>0</v>
      </c>
      <c r="H117" s="60" t="b">
        <f>AND(VariableLengthSubnetMaskCalc.!D112+2&lt;H119,VariableLengthSubnetMaskCalc.!D112+2&gt;I119)</f>
        <v>0</v>
      </c>
      <c r="I117" s="60" t="b">
        <f>AND(VariableLengthSubnetMaskCalc.!D112+2&lt;I119,VariableLengthSubnetMaskCalc.!D112+2&gt;J119)</f>
        <v>0</v>
      </c>
      <c r="J117" s="86" t="b">
        <f>AND(VariableLengthSubnetMaskCalc.!D112+2&lt;J119,VariableLengthSubnetMaskCalc.!D112+2&gt;K119)</f>
        <v>0</v>
      </c>
      <c r="K117" s="94" t="b">
        <f>AND(VariableLengthSubnetMaskCalc.!D112+2&lt;K119,VariableLengthSubnetMaskCalc.!D112+2&gt;L119)</f>
        <v>0</v>
      </c>
      <c r="L117" s="60" t="b">
        <f>AND(VariableLengthSubnetMaskCalc.!D112+2&lt;L119,VariableLengthSubnetMaskCalc.!D112+2&gt;M119)</f>
        <v>0</v>
      </c>
      <c r="M117" s="60" t="b">
        <f>AND(VariableLengthSubnetMaskCalc.!D112+2&lt;M119,VariableLengthSubnetMaskCalc.!D112+2&gt;N119)</f>
        <v>0</v>
      </c>
      <c r="N117" s="60" t="b">
        <f>AND(VariableLengthSubnetMaskCalc.!D112+2&lt;N119,VariableLengthSubnetMaskCalc.!D112+2&gt;O119)</f>
        <v>0</v>
      </c>
      <c r="O117" s="60" t="b">
        <f>AND(VariableLengthSubnetMaskCalc.!D112+2&lt;O119,VariableLengthSubnetMaskCalc.!D112+2&gt;P119)</f>
        <v>0</v>
      </c>
      <c r="P117" s="60" t="b">
        <f>AND(VariableLengthSubnetMaskCalc.!D112+2&lt;P119,VariableLengthSubnetMaskCalc.!D112+2&gt;Q119)</f>
        <v>0</v>
      </c>
      <c r="Q117" s="60" t="b">
        <f>AND(VariableLengthSubnetMaskCalc.!D112+2&lt;Q119,VariableLengthSubnetMaskCalc.!D112+2&gt;R119)</f>
        <v>0</v>
      </c>
      <c r="R117" s="86" t="b">
        <f>AND(VariableLengthSubnetMaskCalc.!D112+2&lt;R119,VariableLengthSubnetMaskCalc.!D112+2&gt;S119)</f>
        <v>0</v>
      </c>
      <c r="S117" s="94" t="b">
        <f>AND(VariableLengthSubnetMaskCalc.!D112+2&lt;S119,VariableLengthSubnetMaskCalc.!D112+2&gt;T119)</f>
        <v>0</v>
      </c>
      <c r="T117" s="60" t="b">
        <f>AND(VariableLengthSubnetMaskCalc.!D112+2&lt;T119,VariableLengthSubnetMaskCalc.!D112+2&gt;U119)</f>
        <v>0</v>
      </c>
      <c r="U117" s="60" t="b">
        <f>AND(VariableLengthSubnetMaskCalc.!D112+2&lt;U119,VariableLengthSubnetMaskCalc.!D112+2&gt;V119)</f>
        <v>0</v>
      </c>
      <c r="V117" s="60" t="b">
        <f>AND(VariableLengthSubnetMaskCalc.!D112+2&lt;V119,VariableLengthSubnetMaskCalc.!D112+2&gt;W119)</f>
        <v>0</v>
      </c>
      <c r="W117" s="60" t="b">
        <f>AND(VariableLengthSubnetMaskCalc.!D112+2&lt;W119,VariableLengthSubnetMaskCalc.!D112+2&gt;X119)</f>
        <v>0</v>
      </c>
      <c r="X117" s="60" t="b">
        <f>AND(VariableLengthSubnetMaskCalc.!D112+2&lt;X119,VariableLengthSubnetMaskCalc.!D112+2&gt;Y119)</f>
        <v>0</v>
      </c>
      <c r="Y117" s="60" t="b">
        <f>AND(VariableLengthSubnetMaskCalc.!D112+2&lt;Y119,VariableLengthSubnetMaskCalc.!D112+2&gt;Z119)</f>
        <v>0</v>
      </c>
      <c r="Z117" s="86" t="b">
        <f>AND(VariableLengthSubnetMaskCalc.!D112+2&lt;Z119,VariableLengthSubnetMaskCalc.!D112+2&gt;AA119)</f>
        <v>0</v>
      </c>
      <c r="AA117" s="60" t="b">
        <f>AND(VariableLengthSubnetMaskCalc.!D112+2&lt;AA119,VariableLengthSubnetMaskCalc.!D112+2&gt;AB119)</f>
        <v>0</v>
      </c>
      <c r="AB117" s="60" t="b">
        <f>AND(VariableLengthSubnetMaskCalc.!D112+2&lt;AB119,VariableLengthSubnetMaskCalc.!D112+2&gt;AC119)</f>
        <v>0</v>
      </c>
      <c r="AC117" s="60" t="b">
        <f>AND(VariableLengthSubnetMaskCalc.!D112+2&lt;AC119,VariableLengthSubnetMaskCalc.!D112+2&gt;AD119)</f>
        <v>0</v>
      </c>
      <c r="AD117" s="60" t="b">
        <f>AND(VariableLengthSubnetMaskCalc.!D112+2&lt;AD119,VariableLengthSubnetMaskCalc.!D112+2&gt;AE119)</f>
        <v>0</v>
      </c>
      <c r="AE117" s="60" t="b">
        <f>AND(VariableLengthSubnetMaskCalc.!D112+2&lt;AE119,VariableLengthSubnetMaskCalc.!D112+2&gt;AF119)</f>
        <v>0</v>
      </c>
      <c r="AF117" s="60" t="b">
        <f>AND(VariableLengthSubnetMaskCalc.!D112+2&lt;AF119,VariableLengthSubnetMaskCalc.!D112+2&gt;AG119)</f>
        <v>0</v>
      </c>
      <c r="AG117" s="60" t="b">
        <f>AND(VariableLengthSubnetMaskCalc.!D112+2&lt;AG119,VariableLengthSubnetMaskCalc.!D112+2&gt;AH119)</f>
        <v>0</v>
      </c>
      <c r="AH117" s="74" t="b">
        <f>AND(VariableLengthSubnetMaskCalc.!D112+2&lt;AH119,VariableLengthSubnetMaskCalc.!D112+2&gt;0)</f>
        <v>0</v>
      </c>
      <c r="AI117" s="55"/>
    </row>
    <row r="118" spans="2:35">
      <c r="B118" s="99"/>
      <c r="C118" s="75">
        <f>AA119</f>
        <v>128</v>
      </c>
      <c r="D118" s="61">
        <f>AB119</f>
        <v>64</v>
      </c>
      <c r="E118" s="61">
        <f>AC119</f>
        <v>32</v>
      </c>
      <c r="F118" s="61">
        <f>AD119</f>
        <v>16</v>
      </c>
      <c r="G118" s="61">
        <f>AE119</f>
        <v>8</v>
      </c>
      <c r="H118" s="61">
        <f>AF119</f>
        <v>4</v>
      </c>
      <c r="I118" s="61">
        <f>AG119</f>
        <v>2</v>
      </c>
      <c r="J118" s="87">
        <f>AH119</f>
        <v>1</v>
      </c>
      <c r="K118" s="95">
        <f>AA119</f>
        <v>128</v>
      </c>
      <c r="L118" s="61">
        <f>AB119</f>
        <v>64</v>
      </c>
      <c r="M118" s="61">
        <f>AC119</f>
        <v>32</v>
      </c>
      <c r="N118" s="61">
        <f>AD119</f>
        <v>16</v>
      </c>
      <c r="O118" s="61">
        <f>AE119</f>
        <v>8</v>
      </c>
      <c r="P118" s="61">
        <f>AF119</f>
        <v>4</v>
      </c>
      <c r="Q118" s="61">
        <f>AG119</f>
        <v>2</v>
      </c>
      <c r="R118" s="87">
        <f>AH119</f>
        <v>1</v>
      </c>
      <c r="S118" s="95">
        <f>AA119</f>
        <v>128</v>
      </c>
      <c r="T118" s="61">
        <f>AB119</f>
        <v>64</v>
      </c>
      <c r="U118" s="61">
        <f>AC119</f>
        <v>32</v>
      </c>
      <c r="V118" s="61">
        <f>AD119</f>
        <v>16</v>
      </c>
      <c r="W118" s="61">
        <f>AE119</f>
        <v>8</v>
      </c>
      <c r="X118" s="61">
        <f>AF119</f>
        <v>4</v>
      </c>
      <c r="Y118" s="61">
        <f>AG119</f>
        <v>2</v>
      </c>
      <c r="Z118" s="87">
        <f>AH119</f>
        <v>1</v>
      </c>
      <c r="AA118" s="61">
        <f>AA119</f>
        <v>128</v>
      </c>
      <c r="AB118" s="61">
        <f>AB119</f>
        <v>64</v>
      </c>
      <c r="AC118" s="61">
        <f>AC119</f>
        <v>32</v>
      </c>
      <c r="AD118" s="61">
        <f>AD119</f>
        <v>16</v>
      </c>
      <c r="AE118" s="61">
        <f>AE119</f>
        <v>8</v>
      </c>
      <c r="AF118" s="61">
        <f>AF119</f>
        <v>4</v>
      </c>
      <c r="AG118" s="61">
        <f>AG119</f>
        <v>2</v>
      </c>
      <c r="AH118" s="76">
        <f>AH119</f>
        <v>1</v>
      </c>
      <c r="AI118" s="55"/>
    </row>
    <row r="119" spans="2:35">
      <c r="B119" s="99"/>
      <c r="C119" s="75">
        <f>D119*2</f>
        <v>2147483648</v>
      </c>
      <c r="D119" s="61">
        <f>E119*2</f>
        <v>1073741824</v>
      </c>
      <c r="E119" s="61">
        <f>F119*2</f>
        <v>536870912</v>
      </c>
      <c r="F119" s="61">
        <f>G119*2</f>
        <v>268435456</v>
      </c>
      <c r="G119" s="61">
        <f>H119*2</f>
        <v>134217728</v>
      </c>
      <c r="H119" s="61">
        <f>I119*2</f>
        <v>67108864</v>
      </c>
      <c r="I119" s="61">
        <f>J119*2</f>
        <v>33554432</v>
      </c>
      <c r="J119" s="87">
        <f>K119*2</f>
        <v>16777216</v>
      </c>
      <c r="K119" s="95">
        <f>L119*2</f>
        <v>8388608</v>
      </c>
      <c r="L119" s="61">
        <f>M119*2</f>
        <v>4194304</v>
      </c>
      <c r="M119" s="61">
        <f>N119*2</f>
        <v>2097152</v>
      </c>
      <c r="N119" s="61">
        <f>O119*2</f>
        <v>1048576</v>
      </c>
      <c r="O119" s="61">
        <f>P119*2</f>
        <v>524288</v>
      </c>
      <c r="P119" s="61">
        <f>Q119*2</f>
        <v>262144</v>
      </c>
      <c r="Q119" s="61">
        <f>R119*2</f>
        <v>131072</v>
      </c>
      <c r="R119" s="87">
        <f>S119*2</f>
        <v>65536</v>
      </c>
      <c r="S119" s="95">
        <f>T119*2</f>
        <v>32768</v>
      </c>
      <c r="T119" s="61">
        <f>U119*2</f>
        <v>16384</v>
      </c>
      <c r="U119" s="61">
        <f>V119*2</f>
        <v>8192</v>
      </c>
      <c r="V119" s="61">
        <f>W119*2</f>
        <v>4096</v>
      </c>
      <c r="W119" s="61">
        <f>X119*2</f>
        <v>2048</v>
      </c>
      <c r="X119" s="61">
        <f>Y119*2</f>
        <v>1024</v>
      </c>
      <c r="Y119" s="61">
        <f>Z119*2</f>
        <v>512</v>
      </c>
      <c r="Z119" s="87">
        <f>AA119*2</f>
        <v>256</v>
      </c>
      <c r="AA119" s="61">
        <f>AB119*2</f>
        <v>128</v>
      </c>
      <c r="AB119" s="61">
        <f>AC119*2</f>
        <v>64</v>
      </c>
      <c r="AC119" s="61">
        <f>AD119*2</f>
        <v>32</v>
      </c>
      <c r="AD119" s="61">
        <f>AE119*2</f>
        <v>16</v>
      </c>
      <c r="AE119" s="61">
        <f>AF119*2</f>
        <v>8</v>
      </c>
      <c r="AF119" s="61">
        <f>AG119*2</f>
        <v>4</v>
      </c>
      <c r="AG119" s="61">
        <f>AH119*2</f>
        <v>2</v>
      </c>
      <c r="AH119" s="76">
        <v>1</v>
      </c>
      <c r="AI119" s="55"/>
    </row>
    <row r="120" spans="2:35">
      <c r="B120" s="99"/>
      <c r="C120" s="77">
        <f>C110+1</f>
        <v>12</v>
      </c>
      <c r="D120" s="62"/>
      <c r="E120" s="62"/>
      <c r="F120" s="62"/>
      <c r="G120" s="62" t="str">
        <f>CONCATENATE(C120,"th")</f>
        <v>12th</v>
      </c>
      <c r="H120" s="62"/>
      <c r="I120" s="62"/>
      <c r="J120" s="88"/>
      <c r="K120" s="92"/>
      <c r="L120" s="58"/>
      <c r="M120" s="58"/>
      <c r="N120" s="58"/>
      <c r="O120" s="58"/>
      <c r="P120" s="58"/>
      <c r="Q120" s="58"/>
      <c r="R120" s="84"/>
      <c r="S120" s="92"/>
      <c r="T120" s="58"/>
      <c r="U120" s="58"/>
      <c r="V120" s="58"/>
      <c r="W120" s="58"/>
      <c r="X120" s="58"/>
      <c r="Y120" s="58"/>
      <c r="Z120" s="84"/>
      <c r="AA120" s="58"/>
      <c r="AB120" s="58"/>
      <c r="AC120" s="58"/>
      <c r="AD120" s="58"/>
      <c r="AE120" s="58"/>
      <c r="AF120" s="58"/>
      <c r="AG120" s="58"/>
      <c r="AH120" s="70"/>
      <c r="AI120" s="55"/>
    </row>
    <row r="121" spans="2:35" ht="15.75" thickBot="1">
      <c r="B121" s="100"/>
      <c r="C121" s="78" t="str">
        <f>IF(OR(VariableLengthSubnetMaskCalc.!$D$2="",VariableLengthSubnetMaskCalc.!$D$12="",VariableLengthSubnetMaskCalc.!$D$22="",VariableLengthSubnetMaskCalc.!$D$32="",VariableLengthSubnetMaskCalc.!$D$42="",VariableLengthSubnetMaskCalc.!$D$52="",VariableLengthSubnetMaskCalc.!$D$62="",VariableLengthSubnetMaskCalc.!$D$72="",VariableLengthSubnetMaskCalc.!$D$82="",VariableLengthSubnetMaskCalc.!$D$92="",VariableLengthSubnetMaskCalc.!$D$102="",VariableLengthSubnetMaskCalc.!$D$112=""),"",VariableLengthSubnetMaskCalc.!D112)</f>
        <v/>
      </c>
      <c r="D121" s="79"/>
      <c r="E121" s="79"/>
      <c r="F121" s="79"/>
      <c r="G121" s="79"/>
      <c r="H121" s="79"/>
      <c r="I121" s="79"/>
      <c r="J121" s="89"/>
      <c r="K121" s="96"/>
      <c r="L121" s="80"/>
      <c r="M121" s="80"/>
      <c r="N121" s="80"/>
      <c r="O121" s="80"/>
      <c r="P121" s="80"/>
      <c r="Q121" s="80"/>
      <c r="R121" s="97"/>
      <c r="S121" s="96"/>
      <c r="T121" s="80"/>
      <c r="U121" s="80"/>
      <c r="V121" s="80"/>
      <c r="W121" s="80"/>
      <c r="X121" s="80"/>
      <c r="Y121" s="80"/>
      <c r="Z121" s="97"/>
      <c r="AA121" s="80"/>
      <c r="AB121" s="80"/>
      <c r="AC121" s="80"/>
      <c r="AD121" s="80"/>
      <c r="AE121" s="80"/>
      <c r="AF121" s="80"/>
      <c r="AG121" s="80"/>
      <c r="AH121" s="81"/>
      <c r="AI121" s="55"/>
    </row>
    <row r="122" spans="2:35" ht="15" customHeight="1">
      <c r="B122" s="98" t="str">
        <f>VariableLengthSubnetMaskCalc.!B122</f>
        <v>13th
Network</v>
      </c>
      <c r="C122" s="64">
        <f>IF(VariableLengthSubnetMaskCalc.!D123&gt;C129,0,1)</f>
        <v>0</v>
      </c>
      <c r="D122" s="65">
        <f>IF(VariableLengthSubnetMaskCalc.!D123&gt;D129,0,1)</f>
        <v>0</v>
      </c>
      <c r="E122" s="65">
        <f>IF(VariableLengthSubnetMaskCalc.!D123&gt;E129,0,1)</f>
        <v>0</v>
      </c>
      <c r="F122" s="65">
        <f>IF(VariableLengthSubnetMaskCalc.!D123&gt;F129,0,1)</f>
        <v>0</v>
      </c>
      <c r="G122" s="65">
        <f>IF(VariableLengthSubnetMaskCalc.!D123&gt;G129,0,1)</f>
        <v>0</v>
      </c>
      <c r="H122" s="65">
        <f>IF(VariableLengthSubnetMaskCalc.!D123&gt;H129,0,1)</f>
        <v>0</v>
      </c>
      <c r="I122" s="65">
        <f>IF(VariableLengthSubnetMaskCalc.!D123&gt;I129,0,1)</f>
        <v>0</v>
      </c>
      <c r="J122" s="82">
        <f>IF(VariableLengthSubnetMaskCalc.!D123&gt;J129,0,1)</f>
        <v>0</v>
      </c>
      <c r="K122" s="90">
        <f>IF(VariableLengthSubnetMaskCalc.!D123&gt;K129,0,1)</f>
        <v>0</v>
      </c>
      <c r="L122" s="65">
        <f>IF(VariableLengthSubnetMaskCalc.!D123&gt;L129,0,1)</f>
        <v>0</v>
      </c>
      <c r="M122" s="65">
        <f>IF(VariableLengthSubnetMaskCalc.!D123&gt;M129,0,1)</f>
        <v>0</v>
      </c>
      <c r="N122" s="65">
        <f>IF(VariableLengthSubnetMaskCalc.!D123&gt;N129,0,1)</f>
        <v>0</v>
      </c>
      <c r="O122" s="65">
        <f>IF(VariableLengthSubnetMaskCalc.!D123&gt;O129,0,1)</f>
        <v>0</v>
      </c>
      <c r="P122" s="65">
        <f>IF(VariableLengthSubnetMaskCalc.!D123&gt;P129,0,1)</f>
        <v>0</v>
      </c>
      <c r="Q122" s="65">
        <f>IF(VariableLengthSubnetMaskCalc.!D123&gt;Q129,0,1)</f>
        <v>0</v>
      </c>
      <c r="R122" s="82">
        <f>IF(VariableLengthSubnetMaskCalc.!D123&gt;R129,0,1)</f>
        <v>0</v>
      </c>
      <c r="S122" s="90">
        <f>IF(VariableLengthSubnetMaskCalc.!D123&gt;S129,0,1)</f>
        <v>0</v>
      </c>
      <c r="T122" s="65">
        <f>IF(VariableLengthSubnetMaskCalc.!D123&gt;T129,0,1)</f>
        <v>0</v>
      </c>
      <c r="U122" s="65">
        <f>IF(VariableLengthSubnetMaskCalc.!D123&gt;U129,0,1)</f>
        <v>0</v>
      </c>
      <c r="V122" s="65">
        <f>IF(VariableLengthSubnetMaskCalc.!D123&gt;V129,0,1)</f>
        <v>0</v>
      </c>
      <c r="W122" s="65">
        <f>IF(VariableLengthSubnetMaskCalc.!D123&gt;W129,0,1)</f>
        <v>0</v>
      </c>
      <c r="X122" s="65">
        <f>IF(VariableLengthSubnetMaskCalc.!D123&gt;X129,0,1)</f>
        <v>0</v>
      </c>
      <c r="Y122" s="65">
        <f>IF(VariableLengthSubnetMaskCalc.!D123&gt;Y129,0,1)</f>
        <v>0</v>
      </c>
      <c r="Z122" s="82">
        <f>IF(VariableLengthSubnetMaskCalc.!D123&gt;Z129,0,1)</f>
        <v>0</v>
      </c>
      <c r="AA122" s="65">
        <f>IF(VariableLengthSubnetMaskCalc.!D123&gt;AA129,0,1)</f>
        <v>0</v>
      </c>
      <c r="AB122" s="65">
        <f>IF(VariableLengthSubnetMaskCalc.!D123&gt;AB129,0,1)</f>
        <v>0</v>
      </c>
      <c r="AC122" s="65">
        <f>IF(VariableLengthSubnetMaskCalc.!D123&gt;AC129,0,1)</f>
        <v>0</v>
      </c>
      <c r="AD122" s="65">
        <f>IF(VariableLengthSubnetMaskCalc.!D123&gt;AD129,0,1)</f>
        <v>0</v>
      </c>
      <c r="AE122" s="65">
        <f>IF(VariableLengthSubnetMaskCalc.!D123&gt;AE129,0,1)</f>
        <v>0</v>
      </c>
      <c r="AF122" s="65">
        <f>IF(VariableLengthSubnetMaskCalc.!D123&gt;AF129,0,1)</f>
        <v>0</v>
      </c>
      <c r="AG122" s="65">
        <f>IF(VariableLengthSubnetMaskCalc.!D123&gt;AG129,0,1)</f>
        <v>0</v>
      </c>
      <c r="AH122" s="66">
        <f>IF(VariableLengthSubnetMaskCalc.!D123&gt;AH129,0,1)</f>
        <v>0</v>
      </c>
      <c r="AI122" s="55"/>
    </row>
    <row r="123" spans="2:35">
      <c r="B123" s="99"/>
      <c r="C123" s="67">
        <f>IF(C122=1,0,1)</f>
        <v>1</v>
      </c>
      <c r="D123" s="57">
        <f>IF(D122=1,0,1)</f>
        <v>1</v>
      </c>
      <c r="E123" s="57">
        <f>IF(E122=1,0,1)</f>
        <v>1</v>
      </c>
      <c r="F123" s="57">
        <f>IF(F122=1,0,1)</f>
        <v>1</v>
      </c>
      <c r="G123" s="57">
        <f>IF(G122=1,0,1)</f>
        <v>1</v>
      </c>
      <c r="H123" s="57">
        <f>IF(H122=1,0,1)</f>
        <v>1</v>
      </c>
      <c r="I123" s="57">
        <f>IF(I122=1,0,1)</f>
        <v>1</v>
      </c>
      <c r="J123" s="83">
        <f>IF(J122=1,0,1)</f>
        <v>1</v>
      </c>
      <c r="K123" s="91">
        <f>IF(K122=1,0,1)</f>
        <v>1</v>
      </c>
      <c r="L123" s="57">
        <f>IF(L122=1,0,1)</f>
        <v>1</v>
      </c>
      <c r="M123" s="57">
        <f>IF(M122=1,0,1)</f>
        <v>1</v>
      </c>
      <c r="N123" s="57">
        <f>IF(N122=1,0,1)</f>
        <v>1</v>
      </c>
      <c r="O123" s="57">
        <f>IF(O122=1,0,1)</f>
        <v>1</v>
      </c>
      <c r="P123" s="57">
        <f>IF(P122=1,0,1)</f>
        <v>1</v>
      </c>
      <c r="Q123" s="57">
        <f>IF(Q122=1,0,1)</f>
        <v>1</v>
      </c>
      <c r="R123" s="83">
        <f>IF(R122=1,0,1)</f>
        <v>1</v>
      </c>
      <c r="S123" s="91">
        <f>IF(S122=1,0,1)</f>
        <v>1</v>
      </c>
      <c r="T123" s="57">
        <f>IF(T122=1,0,1)</f>
        <v>1</v>
      </c>
      <c r="U123" s="57">
        <f>IF(U122=1,0,1)</f>
        <v>1</v>
      </c>
      <c r="V123" s="57">
        <f>IF(V122=1,0,1)</f>
        <v>1</v>
      </c>
      <c r="W123" s="57">
        <f>IF(W122=1,0,1)</f>
        <v>1</v>
      </c>
      <c r="X123" s="57">
        <f>IF(X122=1,0,1)</f>
        <v>1</v>
      </c>
      <c r="Y123" s="57">
        <f>IF(Y122=1,0,1)</f>
        <v>1</v>
      </c>
      <c r="Z123" s="83">
        <f>IF(Z122=1,0,1)</f>
        <v>1</v>
      </c>
      <c r="AA123" s="57">
        <f>IF(AA122=1,0,1)</f>
        <v>1</v>
      </c>
      <c r="AB123" s="57">
        <f>IF(AB122=1,0,1)</f>
        <v>1</v>
      </c>
      <c r="AC123" s="57">
        <f>IF(AC122=1,0,1)</f>
        <v>1</v>
      </c>
      <c r="AD123" s="57">
        <f>IF(AD122=1,0,1)</f>
        <v>1</v>
      </c>
      <c r="AE123" s="57">
        <f>IF(AE122=1,0,1)</f>
        <v>1</v>
      </c>
      <c r="AF123" s="57">
        <f>IF(AF122=1,0,1)</f>
        <v>1</v>
      </c>
      <c r="AG123" s="57">
        <f>IF(AG122=1,0,1)</f>
        <v>1</v>
      </c>
      <c r="AH123" s="68">
        <f>IF(AH122=1,0,1)</f>
        <v>1</v>
      </c>
      <c r="AI123" s="55"/>
    </row>
    <row r="124" spans="2:35">
      <c r="B124" s="99"/>
      <c r="C124" s="69"/>
      <c r="D124" s="58"/>
      <c r="E124" s="58"/>
      <c r="F124" s="58"/>
      <c r="G124" s="58"/>
      <c r="H124" s="58"/>
      <c r="I124" s="58"/>
      <c r="J124" s="84"/>
      <c r="K124" s="92"/>
      <c r="L124" s="58"/>
      <c r="M124" s="58"/>
      <c r="N124" s="58"/>
      <c r="O124" s="58"/>
      <c r="P124" s="58"/>
      <c r="Q124" s="58"/>
      <c r="R124" s="84"/>
      <c r="S124" s="92"/>
      <c r="T124" s="58"/>
      <c r="U124" s="58"/>
      <c r="V124" s="58"/>
      <c r="W124" s="58"/>
      <c r="X124" s="58"/>
      <c r="Y124" s="58"/>
      <c r="Z124" s="84"/>
      <c r="AA124" s="58"/>
      <c r="AB124" s="58"/>
      <c r="AC124" s="58"/>
      <c r="AD124" s="58"/>
      <c r="AE124" s="58"/>
      <c r="AF124" s="58"/>
      <c r="AG124" s="58"/>
      <c r="AH124" s="70"/>
      <c r="AI124" s="55"/>
    </row>
    <row r="125" spans="2:35">
      <c r="B125" s="99"/>
      <c r="C125" s="71" t="str">
        <f>CONCATENATE(C122,D122,E122,F122,G122,H122,I122,J122)</f>
        <v>00000000</v>
      </c>
      <c r="D125" s="59"/>
      <c r="E125" s="59"/>
      <c r="F125" s="59"/>
      <c r="G125" s="59">
        <f>BIN2DEC(C125)</f>
        <v>0</v>
      </c>
      <c r="H125" s="59"/>
      <c r="I125" s="59"/>
      <c r="J125" s="85"/>
      <c r="K125" s="93" t="str">
        <f>CONCATENATE(K122,L122,M122,N122,O122,P122,Q122,R122)</f>
        <v>00000000</v>
      </c>
      <c r="L125" s="59"/>
      <c r="M125" s="59"/>
      <c r="N125" s="59"/>
      <c r="O125" s="59">
        <f>BIN2DEC(K125)</f>
        <v>0</v>
      </c>
      <c r="P125" s="59"/>
      <c r="Q125" s="59"/>
      <c r="R125" s="85"/>
      <c r="S125" s="93" t="str">
        <f>CONCATENATE(S122,T122,U122,V122,W122,X122,Y122,Z122)</f>
        <v>00000000</v>
      </c>
      <c r="T125" s="59"/>
      <c r="U125" s="59"/>
      <c r="V125" s="59"/>
      <c r="W125" s="59">
        <f>BIN2DEC(S125)</f>
        <v>0</v>
      </c>
      <c r="X125" s="59"/>
      <c r="Y125" s="59"/>
      <c r="Z125" s="85"/>
      <c r="AA125" s="59" t="str">
        <f>CONCATENATE(AA122,AB122,AC122,AD122,AE122,AF122,AG122,AH122)</f>
        <v>00000000</v>
      </c>
      <c r="AB125" s="59"/>
      <c r="AC125" s="59"/>
      <c r="AD125" s="59"/>
      <c r="AE125" s="59">
        <f>BIN2DEC(AA125)</f>
        <v>0</v>
      </c>
      <c r="AF125" s="59"/>
      <c r="AG125" s="59"/>
      <c r="AH125" s="72"/>
      <c r="AI125" s="55"/>
    </row>
    <row r="126" spans="2:35">
      <c r="B126" s="99"/>
      <c r="C126" s="71" t="str">
        <f>CONCATENATE(C123,D123,E123,F123,G123,H123,I123,J123,)</f>
        <v>11111111</v>
      </c>
      <c r="D126" s="59"/>
      <c r="E126" s="59"/>
      <c r="F126" s="59"/>
      <c r="G126" s="59">
        <f>BIN2DEC(C126)</f>
        <v>255</v>
      </c>
      <c r="H126" s="59"/>
      <c r="I126" s="59"/>
      <c r="J126" s="85"/>
      <c r="K126" s="93" t="str">
        <f>CONCATENATE(K123,L123,M123,N123,O123,P123,Q123,R123,)</f>
        <v>11111111</v>
      </c>
      <c r="L126" s="59"/>
      <c r="M126" s="59"/>
      <c r="N126" s="59"/>
      <c r="O126" s="59">
        <f>BIN2DEC(K126)</f>
        <v>255</v>
      </c>
      <c r="P126" s="59"/>
      <c r="Q126" s="59"/>
      <c r="R126" s="85"/>
      <c r="S126" s="93" t="str">
        <f>CONCATENATE(S123,T123,U123,V123,W123,X123,Y123,Z123,)</f>
        <v>11111111</v>
      </c>
      <c r="T126" s="59"/>
      <c r="U126" s="59"/>
      <c r="V126" s="59"/>
      <c r="W126" s="59">
        <f>BIN2DEC(S126)</f>
        <v>255</v>
      </c>
      <c r="X126" s="59"/>
      <c r="Y126" s="59"/>
      <c r="Z126" s="85"/>
      <c r="AA126" s="59" t="str">
        <f>CONCATENATE(AA123,AB123,AC123,AD123,AE123,AF123,AG123,AH123,)</f>
        <v>11111111</v>
      </c>
      <c r="AB126" s="59"/>
      <c r="AC126" s="59"/>
      <c r="AD126" s="59"/>
      <c r="AE126" s="59">
        <f>BIN2DEC(AA126)</f>
        <v>255</v>
      </c>
      <c r="AF126" s="59"/>
      <c r="AG126" s="59"/>
      <c r="AH126" s="72"/>
      <c r="AI126" s="55"/>
    </row>
    <row r="127" spans="2:35">
      <c r="B127" s="99"/>
      <c r="C127" s="73" t="b">
        <f>AND(VariableLengthSubnetMaskCalc.!D122+2&lt;C129,VariableLengthSubnetMaskCalc.!D122+2&gt;D129)</f>
        <v>0</v>
      </c>
      <c r="D127" s="60" t="b">
        <f>AND(VariableLengthSubnetMaskCalc.!D122+2&lt;D129,VariableLengthSubnetMaskCalc.!D122+2&gt;E129)</f>
        <v>0</v>
      </c>
      <c r="E127" s="60" t="b">
        <f>AND(VariableLengthSubnetMaskCalc.!D122+2&lt;E129,VariableLengthSubnetMaskCalc.!D122+2&gt;F129)</f>
        <v>0</v>
      </c>
      <c r="F127" s="60" t="b">
        <f>AND(VariableLengthSubnetMaskCalc.!D122+2&lt;F129,VariableLengthSubnetMaskCalc.!D122+2&gt;G129)</f>
        <v>0</v>
      </c>
      <c r="G127" s="60" t="b">
        <f>AND(VariableLengthSubnetMaskCalc.!D122+2&lt;G129,VariableLengthSubnetMaskCalc.!D122+2&gt;H129)</f>
        <v>0</v>
      </c>
      <c r="H127" s="60" t="b">
        <f>AND(VariableLengthSubnetMaskCalc.!D122+2&lt;H129,VariableLengthSubnetMaskCalc.!D122+2&gt;I129)</f>
        <v>0</v>
      </c>
      <c r="I127" s="60" t="b">
        <f>AND(VariableLengthSubnetMaskCalc.!D122+2&lt;I129,VariableLengthSubnetMaskCalc.!D122+2&gt;J129)</f>
        <v>0</v>
      </c>
      <c r="J127" s="86" t="b">
        <f>AND(VariableLengthSubnetMaskCalc.!D122+2&lt;J129,VariableLengthSubnetMaskCalc.!D122+2&gt;K129)</f>
        <v>0</v>
      </c>
      <c r="K127" s="94" t="b">
        <f>AND(VariableLengthSubnetMaskCalc.!D122+2&lt;K129,VariableLengthSubnetMaskCalc.!D122+2&gt;L129)</f>
        <v>0</v>
      </c>
      <c r="L127" s="60" t="b">
        <f>AND(VariableLengthSubnetMaskCalc.!D122+2&lt;L129,VariableLengthSubnetMaskCalc.!D122+2&gt;M129)</f>
        <v>0</v>
      </c>
      <c r="M127" s="60" t="b">
        <f>AND(VariableLengthSubnetMaskCalc.!D122+2&lt;M129,VariableLengthSubnetMaskCalc.!D122+2&gt;N129)</f>
        <v>0</v>
      </c>
      <c r="N127" s="60" t="b">
        <f>AND(VariableLengthSubnetMaskCalc.!D122+2&lt;N129,VariableLengthSubnetMaskCalc.!D122+2&gt;O129)</f>
        <v>0</v>
      </c>
      <c r="O127" s="60" t="b">
        <f>AND(VariableLengthSubnetMaskCalc.!D122+2&lt;O129,VariableLengthSubnetMaskCalc.!D122+2&gt;P129)</f>
        <v>0</v>
      </c>
      <c r="P127" s="60" t="b">
        <f>AND(VariableLengthSubnetMaskCalc.!D122+2&lt;P129,VariableLengthSubnetMaskCalc.!D122+2&gt;Q129)</f>
        <v>0</v>
      </c>
      <c r="Q127" s="60" t="b">
        <f>AND(VariableLengthSubnetMaskCalc.!D122+2&lt;Q129,VariableLengthSubnetMaskCalc.!D122+2&gt;R129)</f>
        <v>0</v>
      </c>
      <c r="R127" s="86" t="b">
        <f>AND(VariableLengthSubnetMaskCalc.!D122+2&lt;R129,VariableLengthSubnetMaskCalc.!D122+2&gt;S129)</f>
        <v>0</v>
      </c>
      <c r="S127" s="94" t="b">
        <f>AND(VariableLengthSubnetMaskCalc.!D122+2&lt;S129,VariableLengthSubnetMaskCalc.!D122+2&gt;T129)</f>
        <v>0</v>
      </c>
      <c r="T127" s="60" t="b">
        <f>AND(VariableLengthSubnetMaskCalc.!D122+2&lt;T129,VariableLengthSubnetMaskCalc.!D122+2&gt;U129)</f>
        <v>0</v>
      </c>
      <c r="U127" s="60" t="b">
        <f>AND(VariableLengthSubnetMaskCalc.!D122+2&lt;U129,VariableLengthSubnetMaskCalc.!D122+2&gt;V129)</f>
        <v>0</v>
      </c>
      <c r="V127" s="60" t="b">
        <f>AND(VariableLengthSubnetMaskCalc.!D122+2&lt;V129,VariableLengthSubnetMaskCalc.!D122+2&gt;W129)</f>
        <v>0</v>
      </c>
      <c r="W127" s="60" t="b">
        <f>AND(VariableLengthSubnetMaskCalc.!D122+2&lt;W129,VariableLengthSubnetMaskCalc.!D122+2&gt;X129)</f>
        <v>0</v>
      </c>
      <c r="X127" s="60" t="b">
        <f>AND(VariableLengthSubnetMaskCalc.!D122+2&lt;X129,VariableLengthSubnetMaskCalc.!D122+2&gt;Y129)</f>
        <v>0</v>
      </c>
      <c r="Y127" s="60" t="b">
        <f>AND(VariableLengthSubnetMaskCalc.!D122+2&lt;Y129,VariableLengthSubnetMaskCalc.!D122+2&gt;Z129)</f>
        <v>0</v>
      </c>
      <c r="Z127" s="86" t="b">
        <f>AND(VariableLengthSubnetMaskCalc.!D122+2&lt;Z129,VariableLengthSubnetMaskCalc.!D122+2&gt;AA129)</f>
        <v>0</v>
      </c>
      <c r="AA127" s="60" t="b">
        <f>AND(VariableLengthSubnetMaskCalc.!D122+2&lt;AA129,VariableLengthSubnetMaskCalc.!D122+2&gt;AB129)</f>
        <v>0</v>
      </c>
      <c r="AB127" s="60" t="b">
        <f>AND(VariableLengthSubnetMaskCalc.!D122+2&lt;AB129,VariableLengthSubnetMaskCalc.!D122+2&gt;AC129)</f>
        <v>0</v>
      </c>
      <c r="AC127" s="60" t="b">
        <f>AND(VariableLengthSubnetMaskCalc.!D122+2&lt;AC129,VariableLengthSubnetMaskCalc.!D122+2&gt;AD129)</f>
        <v>0</v>
      </c>
      <c r="AD127" s="60" t="b">
        <f>AND(VariableLengthSubnetMaskCalc.!D122+2&lt;AD129,VariableLengthSubnetMaskCalc.!D122+2&gt;AE129)</f>
        <v>0</v>
      </c>
      <c r="AE127" s="60" t="b">
        <f>AND(VariableLengthSubnetMaskCalc.!D122+2&lt;AE129,VariableLengthSubnetMaskCalc.!D122+2&gt;AF129)</f>
        <v>0</v>
      </c>
      <c r="AF127" s="60" t="b">
        <f>AND(VariableLengthSubnetMaskCalc.!D122+2&lt;AF129,VariableLengthSubnetMaskCalc.!D122+2&gt;AG129)</f>
        <v>0</v>
      </c>
      <c r="AG127" s="60" t="b">
        <f>AND(VariableLengthSubnetMaskCalc.!D122+2&lt;AG129,VariableLengthSubnetMaskCalc.!D122+2&gt;AH129)</f>
        <v>0</v>
      </c>
      <c r="AH127" s="74" t="b">
        <f>AND(VariableLengthSubnetMaskCalc.!D122+2&lt;AH129,VariableLengthSubnetMaskCalc.!D122+2&gt;0)</f>
        <v>0</v>
      </c>
      <c r="AI127" s="55"/>
    </row>
    <row r="128" spans="2:35">
      <c r="B128" s="99"/>
      <c r="C128" s="75">
        <f>AA129</f>
        <v>128</v>
      </c>
      <c r="D128" s="61">
        <f>AB129</f>
        <v>64</v>
      </c>
      <c r="E128" s="61">
        <f>AC129</f>
        <v>32</v>
      </c>
      <c r="F128" s="61">
        <f>AD129</f>
        <v>16</v>
      </c>
      <c r="G128" s="61">
        <f>AE129</f>
        <v>8</v>
      </c>
      <c r="H128" s="61">
        <f>AF129</f>
        <v>4</v>
      </c>
      <c r="I128" s="61">
        <f>AG129</f>
        <v>2</v>
      </c>
      <c r="J128" s="87">
        <f>AH129</f>
        <v>1</v>
      </c>
      <c r="K128" s="95">
        <f>AA129</f>
        <v>128</v>
      </c>
      <c r="L128" s="61">
        <f>AB129</f>
        <v>64</v>
      </c>
      <c r="M128" s="61">
        <f>AC129</f>
        <v>32</v>
      </c>
      <c r="N128" s="61">
        <f>AD129</f>
        <v>16</v>
      </c>
      <c r="O128" s="61">
        <f>AE129</f>
        <v>8</v>
      </c>
      <c r="P128" s="61">
        <f>AF129</f>
        <v>4</v>
      </c>
      <c r="Q128" s="61">
        <f>AG129</f>
        <v>2</v>
      </c>
      <c r="R128" s="87">
        <f>AH129</f>
        <v>1</v>
      </c>
      <c r="S128" s="95">
        <f>AA129</f>
        <v>128</v>
      </c>
      <c r="T128" s="61">
        <f>AB129</f>
        <v>64</v>
      </c>
      <c r="U128" s="61">
        <f>AC129</f>
        <v>32</v>
      </c>
      <c r="V128" s="61">
        <f>AD129</f>
        <v>16</v>
      </c>
      <c r="W128" s="61">
        <f>AE129</f>
        <v>8</v>
      </c>
      <c r="X128" s="61">
        <f>AF129</f>
        <v>4</v>
      </c>
      <c r="Y128" s="61">
        <f>AG129</f>
        <v>2</v>
      </c>
      <c r="Z128" s="87">
        <f>AH129</f>
        <v>1</v>
      </c>
      <c r="AA128" s="61">
        <f>AA129</f>
        <v>128</v>
      </c>
      <c r="AB128" s="61">
        <f>AB129</f>
        <v>64</v>
      </c>
      <c r="AC128" s="61">
        <f>AC129</f>
        <v>32</v>
      </c>
      <c r="AD128" s="61">
        <f>AD129</f>
        <v>16</v>
      </c>
      <c r="AE128" s="61">
        <f>AE129</f>
        <v>8</v>
      </c>
      <c r="AF128" s="61">
        <f>AF129</f>
        <v>4</v>
      </c>
      <c r="AG128" s="61">
        <f>AG129</f>
        <v>2</v>
      </c>
      <c r="AH128" s="76">
        <f>AH129</f>
        <v>1</v>
      </c>
      <c r="AI128" s="55"/>
    </row>
    <row r="129" spans="2:35">
      <c r="B129" s="99"/>
      <c r="C129" s="75">
        <f>D129*2</f>
        <v>2147483648</v>
      </c>
      <c r="D129" s="61">
        <f>E129*2</f>
        <v>1073741824</v>
      </c>
      <c r="E129" s="61">
        <f>F129*2</f>
        <v>536870912</v>
      </c>
      <c r="F129" s="61">
        <f>G129*2</f>
        <v>268435456</v>
      </c>
      <c r="G129" s="61">
        <f>H129*2</f>
        <v>134217728</v>
      </c>
      <c r="H129" s="61">
        <f>I129*2</f>
        <v>67108864</v>
      </c>
      <c r="I129" s="61">
        <f>J129*2</f>
        <v>33554432</v>
      </c>
      <c r="J129" s="87">
        <f>K129*2</f>
        <v>16777216</v>
      </c>
      <c r="K129" s="95">
        <f>L129*2</f>
        <v>8388608</v>
      </c>
      <c r="L129" s="61">
        <f>M129*2</f>
        <v>4194304</v>
      </c>
      <c r="M129" s="61">
        <f>N129*2</f>
        <v>2097152</v>
      </c>
      <c r="N129" s="61">
        <f>O129*2</f>
        <v>1048576</v>
      </c>
      <c r="O129" s="61">
        <f>P129*2</f>
        <v>524288</v>
      </c>
      <c r="P129" s="61">
        <f>Q129*2</f>
        <v>262144</v>
      </c>
      <c r="Q129" s="61">
        <f>R129*2</f>
        <v>131072</v>
      </c>
      <c r="R129" s="87">
        <f>S129*2</f>
        <v>65536</v>
      </c>
      <c r="S129" s="95">
        <f>T129*2</f>
        <v>32768</v>
      </c>
      <c r="T129" s="61">
        <f>U129*2</f>
        <v>16384</v>
      </c>
      <c r="U129" s="61">
        <f>V129*2</f>
        <v>8192</v>
      </c>
      <c r="V129" s="61">
        <f>W129*2</f>
        <v>4096</v>
      </c>
      <c r="W129" s="61">
        <f>X129*2</f>
        <v>2048</v>
      </c>
      <c r="X129" s="61">
        <f>Y129*2</f>
        <v>1024</v>
      </c>
      <c r="Y129" s="61">
        <f>Z129*2</f>
        <v>512</v>
      </c>
      <c r="Z129" s="87">
        <f>AA129*2</f>
        <v>256</v>
      </c>
      <c r="AA129" s="61">
        <f>AB129*2</f>
        <v>128</v>
      </c>
      <c r="AB129" s="61">
        <f>AC129*2</f>
        <v>64</v>
      </c>
      <c r="AC129" s="61">
        <f>AD129*2</f>
        <v>32</v>
      </c>
      <c r="AD129" s="61">
        <f>AE129*2</f>
        <v>16</v>
      </c>
      <c r="AE129" s="61">
        <f>AF129*2</f>
        <v>8</v>
      </c>
      <c r="AF129" s="61">
        <f>AG129*2</f>
        <v>4</v>
      </c>
      <c r="AG129" s="61">
        <f>AH129*2</f>
        <v>2</v>
      </c>
      <c r="AH129" s="76">
        <v>1</v>
      </c>
      <c r="AI129" s="55"/>
    </row>
    <row r="130" spans="2:35">
      <c r="B130" s="99"/>
      <c r="C130" s="77">
        <f>C120+1</f>
        <v>13</v>
      </c>
      <c r="D130" s="62"/>
      <c r="E130" s="62"/>
      <c r="F130" s="62"/>
      <c r="G130" s="62" t="str">
        <f>CONCATENATE(C130,"th")</f>
        <v>13th</v>
      </c>
      <c r="H130" s="62"/>
      <c r="I130" s="62"/>
      <c r="J130" s="88"/>
      <c r="K130" s="92"/>
      <c r="L130" s="58"/>
      <c r="M130" s="58"/>
      <c r="N130" s="58"/>
      <c r="O130" s="58"/>
      <c r="P130" s="58"/>
      <c r="Q130" s="58"/>
      <c r="R130" s="84"/>
      <c r="S130" s="92"/>
      <c r="T130" s="58"/>
      <c r="U130" s="58"/>
      <c r="V130" s="58"/>
      <c r="W130" s="58"/>
      <c r="X130" s="58"/>
      <c r="Y130" s="58"/>
      <c r="Z130" s="84"/>
      <c r="AA130" s="58"/>
      <c r="AB130" s="58"/>
      <c r="AC130" s="58"/>
      <c r="AD130" s="58"/>
      <c r="AE130" s="58"/>
      <c r="AF130" s="58"/>
      <c r="AG130" s="58"/>
      <c r="AH130" s="70"/>
      <c r="AI130" s="55"/>
    </row>
    <row r="131" spans="2:35" ht="15.75" thickBot="1">
      <c r="B131" s="100"/>
      <c r="C131" s="78" t="str">
        <f>IF(OR(VariableLengthSubnetMaskCalc.!$D$2="",VariableLengthSubnetMaskCalc.!$D$12="",VariableLengthSubnetMaskCalc.!$D$22="",VariableLengthSubnetMaskCalc.!$D$32="",VariableLengthSubnetMaskCalc.!$D$42="",VariableLengthSubnetMaskCalc.!$D$52="",VariableLengthSubnetMaskCalc.!$D$62="",VariableLengthSubnetMaskCalc.!$D$72="",VariableLengthSubnetMaskCalc.!$D$82="",VariableLengthSubnetMaskCalc.!$D$92="",VariableLengthSubnetMaskCalc.!$D$102="",VariableLengthSubnetMaskCalc.!$D$112="",VariableLengthSubnetMaskCalc.!$D$122=""),"",VariableLengthSubnetMaskCalc.!D122)</f>
        <v/>
      </c>
      <c r="D131" s="79"/>
      <c r="E131" s="79"/>
      <c r="F131" s="79"/>
      <c r="G131" s="79"/>
      <c r="H131" s="79"/>
      <c r="I131" s="79"/>
      <c r="J131" s="89"/>
      <c r="K131" s="96"/>
      <c r="L131" s="80"/>
      <c r="M131" s="80"/>
      <c r="N131" s="80"/>
      <c r="O131" s="80"/>
      <c r="P131" s="80"/>
      <c r="Q131" s="80"/>
      <c r="R131" s="97"/>
      <c r="S131" s="96"/>
      <c r="T131" s="80"/>
      <c r="U131" s="80"/>
      <c r="V131" s="80"/>
      <c r="W131" s="80"/>
      <c r="X131" s="80"/>
      <c r="Y131" s="80"/>
      <c r="Z131" s="97"/>
      <c r="AA131" s="80"/>
      <c r="AB131" s="80"/>
      <c r="AC131" s="80"/>
      <c r="AD131" s="80"/>
      <c r="AE131" s="80"/>
      <c r="AF131" s="80"/>
      <c r="AG131" s="80"/>
      <c r="AH131" s="81"/>
      <c r="AI131" s="55"/>
    </row>
    <row r="132" spans="2:35" ht="15" customHeight="1">
      <c r="B132" s="98" t="str">
        <f>VariableLengthSubnetMaskCalc.!B132</f>
        <v>14th
Network</v>
      </c>
      <c r="C132" s="64">
        <f>IF(VariableLengthSubnetMaskCalc.!D133&gt;C139,0,1)</f>
        <v>0</v>
      </c>
      <c r="D132" s="65">
        <f>IF(VariableLengthSubnetMaskCalc.!D133&gt;D139,0,1)</f>
        <v>0</v>
      </c>
      <c r="E132" s="65">
        <f>IF(VariableLengthSubnetMaskCalc.!D133&gt;E139,0,1)</f>
        <v>0</v>
      </c>
      <c r="F132" s="65">
        <f>IF(VariableLengthSubnetMaskCalc.!D133&gt;F139,0,1)</f>
        <v>0</v>
      </c>
      <c r="G132" s="65">
        <f>IF(VariableLengthSubnetMaskCalc.!D133&gt;G139,0,1)</f>
        <v>0</v>
      </c>
      <c r="H132" s="65">
        <f>IF(VariableLengthSubnetMaskCalc.!D133&gt;H139,0,1)</f>
        <v>0</v>
      </c>
      <c r="I132" s="65">
        <f>IF(VariableLengthSubnetMaskCalc.!D133&gt;I139,0,1)</f>
        <v>0</v>
      </c>
      <c r="J132" s="82">
        <f>IF(VariableLengthSubnetMaskCalc.!D133&gt;J139,0,1)</f>
        <v>0</v>
      </c>
      <c r="K132" s="90">
        <f>IF(VariableLengthSubnetMaskCalc.!D133&gt;K139,0,1)</f>
        <v>0</v>
      </c>
      <c r="L132" s="65">
        <f>IF(VariableLengthSubnetMaskCalc.!D133&gt;L139,0,1)</f>
        <v>0</v>
      </c>
      <c r="M132" s="65">
        <f>IF(VariableLengthSubnetMaskCalc.!D133&gt;M139,0,1)</f>
        <v>0</v>
      </c>
      <c r="N132" s="65">
        <f>IF(VariableLengthSubnetMaskCalc.!D133&gt;N139,0,1)</f>
        <v>0</v>
      </c>
      <c r="O132" s="65">
        <f>IF(VariableLengthSubnetMaskCalc.!D133&gt;O139,0,1)</f>
        <v>0</v>
      </c>
      <c r="P132" s="65">
        <f>IF(VariableLengthSubnetMaskCalc.!D133&gt;P139,0,1)</f>
        <v>0</v>
      </c>
      <c r="Q132" s="65">
        <f>IF(VariableLengthSubnetMaskCalc.!D133&gt;Q139,0,1)</f>
        <v>0</v>
      </c>
      <c r="R132" s="82">
        <f>IF(VariableLengthSubnetMaskCalc.!D133&gt;R139,0,1)</f>
        <v>0</v>
      </c>
      <c r="S132" s="90">
        <f>IF(VariableLengthSubnetMaskCalc.!D133&gt;S139,0,1)</f>
        <v>0</v>
      </c>
      <c r="T132" s="65">
        <f>IF(VariableLengthSubnetMaskCalc.!D133&gt;T139,0,1)</f>
        <v>0</v>
      </c>
      <c r="U132" s="65">
        <f>IF(VariableLengthSubnetMaskCalc.!D133&gt;U139,0,1)</f>
        <v>0</v>
      </c>
      <c r="V132" s="65">
        <f>IF(VariableLengthSubnetMaskCalc.!D133&gt;V139,0,1)</f>
        <v>0</v>
      </c>
      <c r="W132" s="65">
        <f>IF(VariableLengthSubnetMaskCalc.!D133&gt;W139,0,1)</f>
        <v>0</v>
      </c>
      <c r="X132" s="65">
        <f>IF(VariableLengthSubnetMaskCalc.!D133&gt;X139,0,1)</f>
        <v>0</v>
      </c>
      <c r="Y132" s="65">
        <f>IF(VariableLengthSubnetMaskCalc.!D133&gt;Y139,0,1)</f>
        <v>0</v>
      </c>
      <c r="Z132" s="82">
        <f>IF(VariableLengthSubnetMaskCalc.!D133&gt;Z139,0,1)</f>
        <v>0</v>
      </c>
      <c r="AA132" s="65">
        <f>IF(VariableLengthSubnetMaskCalc.!D133&gt;AA139,0,1)</f>
        <v>0</v>
      </c>
      <c r="AB132" s="65">
        <f>IF(VariableLengthSubnetMaskCalc.!D133&gt;AB139,0,1)</f>
        <v>0</v>
      </c>
      <c r="AC132" s="65">
        <f>IF(VariableLengthSubnetMaskCalc.!D133&gt;AC139,0,1)</f>
        <v>0</v>
      </c>
      <c r="AD132" s="65">
        <f>IF(VariableLengthSubnetMaskCalc.!D133&gt;AD139,0,1)</f>
        <v>0</v>
      </c>
      <c r="AE132" s="65">
        <f>IF(VariableLengthSubnetMaskCalc.!D133&gt;AE139,0,1)</f>
        <v>0</v>
      </c>
      <c r="AF132" s="65">
        <f>IF(VariableLengthSubnetMaskCalc.!D133&gt;AF139,0,1)</f>
        <v>0</v>
      </c>
      <c r="AG132" s="65">
        <f>IF(VariableLengthSubnetMaskCalc.!D133&gt;AG139,0,1)</f>
        <v>0</v>
      </c>
      <c r="AH132" s="66">
        <f>IF(VariableLengthSubnetMaskCalc.!D133&gt;AH139,0,1)</f>
        <v>0</v>
      </c>
      <c r="AI132" s="55"/>
    </row>
    <row r="133" spans="2:35">
      <c r="B133" s="99"/>
      <c r="C133" s="67">
        <f>IF(C132=1,0,1)</f>
        <v>1</v>
      </c>
      <c r="D133" s="57">
        <f>IF(D132=1,0,1)</f>
        <v>1</v>
      </c>
      <c r="E133" s="57">
        <f>IF(E132=1,0,1)</f>
        <v>1</v>
      </c>
      <c r="F133" s="57">
        <f>IF(F132=1,0,1)</f>
        <v>1</v>
      </c>
      <c r="G133" s="57">
        <f>IF(G132=1,0,1)</f>
        <v>1</v>
      </c>
      <c r="H133" s="57">
        <f>IF(H132=1,0,1)</f>
        <v>1</v>
      </c>
      <c r="I133" s="57">
        <f>IF(I132=1,0,1)</f>
        <v>1</v>
      </c>
      <c r="J133" s="83">
        <f>IF(J132=1,0,1)</f>
        <v>1</v>
      </c>
      <c r="K133" s="91">
        <f>IF(K132=1,0,1)</f>
        <v>1</v>
      </c>
      <c r="L133" s="57">
        <f>IF(L132=1,0,1)</f>
        <v>1</v>
      </c>
      <c r="M133" s="57">
        <f>IF(M132=1,0,1)</f>
        <v>1</v>
      </c>
      <c r="N133" s="57">
        <f>IF(N132=1,0,1)</f>
        <v>1</v>
      </c>
      <c r="O133" s="57">
        <f>IF(O132=1,0,1)</f>
        <v>1</v>
      </c>
      <c r="P133" s="57">
        <f>IF(P132=1,0,1)</f>
        <v>1</v>
      </c>
      <c r="Q133" s="57">
        <f>IF(Q132=1,0,1)</f>
        <v>1</v>
      </c>
      <c r="R133" s="83">
        <f>IF(R132=1,0,1)</f>
        <v>1</v>
      </c>
      <c r="S133" s="91">
        <f>IF(S132=1,0,1)</f>
        <v>1</v>
      </c>
      <c r="T133" s="57">
        <f>IF(T132=1,0,1)</f>
        <v>1</v>
      </c>
      <c r="U133" s="57">
        <f>IF(U132=1,0,1)</f>
        <v>1</v>
      </c>
      <c r="V133" s="57">
        <f>IF(V132=1,0,1)</f>
        <v>1</v>
      </c>
      <c r="W133" s="57">
        <f>IF(W132=1,0,1)</f>
        <v>1</v>
      </c>
      <c r="X133" s="57">
        <f>IF(X132=1,0,1)</f>
        <v>1</v>
      </c>
      <c r="Y133" s="57">
        <f>IF(Y132=1,0,1)</f>
        <v>1</v>
      </c>
      <c r="Z133" s="83">
        <f>IF(Z132=1,0,1)</f>
        <v>1</v>
      </c>
      <c r="AA133" s="57">
        <f>IF(AA132=1,0,1)</f>
        <v>1</v>
      </c>
      <c r="AB133" s="57">
        <f>IF(AB132=1,0,1)</f>
        <v>1</v>
      </c>
      <c r="AC133" s="57">
        <f>IF(AC132=1,0,1)</f>
        <v>1</v>
      </c>
      <c r="AD133" s="57">
        <f>IF(AD132=1,0,1)</f>
        <v>1</v>
      </c>
      <c r="AE133" s="57">
        <f>IF(AE132=1,0,1)</f>
        <v>1</v>
      </c>
      <c r="AF133" s="57">
        <f>IF(AF132=1,0,1)</f>
        <v>1</v>
      </c>
      <c r="AG133" s="57">
        <f>IF(AG132=1,0,1)</f>
        <v>1</v>
      </c>
      <c r="AH133" s="68">
        <f>IF(AH132=1,0,1)</f>
        <v>1</v>
      </c>
      <c r="AI133" s="55"/>
    </row>
    <row r="134" spans="2:35">
      <c r="B134" s="99"/>
      <c r="C134" s="69"/>
      <c r="D134" s="58"/>
      <c r="E134" s="58"/>
      <c r="F134" s="58"/>
      <c r="G134" s="58"/>
      <c r="H134" s="58"/>
      <c r="I134" s="58"/>
      <c r="J134" s="84"/>
      <c r="K134" s="92"/>
      <c r="L134" s="58"/>
      <c r="M134" s="58"/>
      <c r="N134" s="58"/>
      <c r="O134" s="58"/>
      <c r="P134" s="58"/>
      <c r="Q134" s="58"/>
      <c r="R134" s="84"/>
      <c r="S134" s="92"/>
      <c r="T134" s="58"/>
      <c r="U134" s="58"/>
      <c r="V134" s="58"/>
      <c r="W134" s="58"/>
      <c r="X134" s="58"/>
      <c r="Y134" s="58"/>
      <c r="Z134" s="84"/>
      <c r="AA134" s="58"/>
      <c r="AB134" s="58"/>
      <c r="AC134" s="58"/>
      <c r="AD134" s="58"/>
      <c r="AE134" s="58"/>
      <c r="AF134" s="58"/>
      <c r="AG134" s="58"/>
      <c r="AH134" s="70"/>
      <c r="AI134" s="55"/>
    </row>
    <row r="135" spans="2:35">
      <c r="B135" s="99"/>
      <c r="C135" s="71" t="str">
        <f>CONCATENATE(C132,D132,E132,F132,G132,H132,I132,J132)</f>
        <v>00000000</v>
      </c>
      <c r="D135" s="59"/>
      <c r="E135" s="59"/>
      <c r="F135" s="59"/>
      <c r="G135" s="59">
        <f>BIN2DEC(C135)</f>
        <v>0</v>
      </c>
      <c r="H135" s="59"/>
      <c r="I135" s="59"/>
      <c r="J135" s="85"/>
      <c r="K135" s="93" t="str">
        <f>CONCATENATE(K132,L132,M132,N132,O132,P132,Q132,R132)</f>
        <v>00000000</v>
      </c>
      <c r="L135" s="59"/>
      <c r="M135" s="59"/>
      <c r="N135" s="59"/>
      <c r="O135" s="59">
        <f>BIN2DEC(K135)</f>
        <v>0</v>
      </c>
      <c r="P135" s="59"/>
      <c r="Q135" s="59"/>
      <c r="R135" s="85"/>
      <c r="S135" s="93" t="str">
        <f>CONCATENATE(S132,T132,U132,V132,W132,X132,Y132,Z132)</f>
        <v>00000000</v>
      </c>
      <c r="T135" s="59"/>
      <c r="U135" s="59"/>
      <c r="V135" s="59"/>
      <c r="W135" s="59">
        <f>BIN2DEC(S135)</f>
        <v>0</v>
      </c>
      <c r="X135" s="59"/>
      <c r="Y135" s="59"/>
      <c r="Z135" s="85"/>
      <c r="AA135" s="59" t="str">
        <f>CONCATENATE(AA132,AB132,AC132,AD132,AE132,AF132,AG132,AH132)</f>
        <v>00000000</v>
      </c>
      <c r="AB135" s="59"/>
      <c r="AC135" s="59"/>
      <c r="AD135" s="59"/>
      <c r="AE135" s="59">
        <f>BIN2DEC(AA135)</f>
        <v>0</v>
      </c>
      <c r="AF135" s="59"/>
      <c r="AG135" s="59"/>
      <c r="AH135" s="72"/>
      <c r="AI135" s="55"/>
    </row>
    <row r="136" spans="2:35">
      <c r="B136" s="99"/>
      <c r="C136" s="71" t="str">
        <f>CONCATENATE(C133,D133,E133,F133,G133,H133,I133,J133,)</f>
        <v>11111111</v>
      </c>
      <c r="D136" s="59"/>
      <c r="E136" s="59"/>
      <c r="F136" s="59"/>
      <c r="G136" s="59">
        <f>BIN2DEC(C136)</f>
        <v>255</v>
      </c>
      <c r="H136" s="59"/>
      <c r="I136" s="59"/>
      <c r="J136" s="85"/>
      <c r="K136" s="93" t="str">
        <f>CONCATENATE(K133,L133,M133,N133,O133,P133,Q133,R133,)</f>
        <v>11111111</v>
      </c>
      <c r="L136" s="59"/>
      <c r="M136" s="59"/>
      <c r="N136" s="59"/>
      <c r="O136" s="59">
        <f>BIN2DEC(K136)</f>
        <v>255</v>
      </c>
      <c r="P136" s="59"/>
      <c r="Q136" s="59"/>
      <c r="R136" s="85"/>
      <c r="S136" s="93" t="str">
        <f>CONCATENATE(S133,T133,U133,V133,W133,X133,Y133,Z133,)</f>
        <v>11111111</v>
      </c>
      <c r="T136" s="59"/>
      <c r="U136" s="59"/>
      <c r="V136" s="59"/>
      <c r="W136" s="59">
        <f>BIN2DEC(S136)</f>
        <v>255</v>
      </c>
      <c r="X136" s="59"/>
      <c r="Y136" s="59"/>
      <c r="Z136" s="85"/>
      <c r="AA136" s="59" t="str">
        <f>CONCATENATE(AA133,AB133,AC133,AD133,AE133,AF133,AG133,AH133,)</f>
        <v>11111111</v>
      </c>
      <c r="AB136" s="59"/>
      <c r="AC136" s="59"/>
      <c r="AD136" s="59"/>
      <c r="AE136" s="59">
        <f>BIN2DEC(AA136)</f>
        <v>255</v>
      </c>
      <c r="AF136" s="59"/>
      <c r="AG136" s="59"/>
      <c r="AH136" s="72"/>
      <c r="AI136" s="55"/>
    </row>
    <row r="137" spans="2:35">
      <c r="B137" s="99"/>
      <c r="C137" s="73" t="b">
        <f>AND(VariableLengthSubnetMaskCalc.!D132+2&lt;C139,VariableLengthSubnetMaskCalc.!D132+2&gt;D139)</f>
        <v>0</v>
      </c>
      <c r="D137" s="60" t="b">
        <f>AND(VariableLengthSubnetMaskCalc.!D132+2&lt;D139,VariableLengthSubnetMaskCalc.!D132+2&gt;E139)</f>
        <v>0</v>
      </c>
      <c r="E137" s="60" t="b">
        <f>AND(VariableLengthSubnetMaskCalc.!D132+2&lt;E139,VariableLengthSubnetMaskCalc.!D132+2&gt;F139)</f>
        <v>0</v>
      </c>
      <c r="F137" s="60" t="b">
        <f>AND(VariableLengthSubnetMaskCalc.!D132+2&lt;F139,VariableLengthSubnetMaskCalc.!D132+2&gt;G139)</f>
        <v>0</v>
      </c>
      <c r="G137" s="60" t="b">
        <f>AND(VariableLengthSubnetMaskCalc.!D132+2&lt;G139,VariableLengthSubnetMaskCalc.!D132+2&gt;H139)</f>
        <v>0</v>
      </c>
      <c r="H137" s="60" t="b">
        <f>AND(VariableLengthSubnetMaskCalc.!D132+2&lt;H139,VariableLengthSubnetMaskCalc.!D132+2&gt;I139)</f>
        <v>0</v>
      </c>
      <c r="I137" s="60" t="b">
        <f>AND(VariableLengthSubnetMaskCalc.!D132+2&lt;I139,VariableLengthSubnetMaskCalc.!D132+2&gt;J139)</f>
        <v>0</v>
      </c>
      <c r="J137" s="86" t="b">
        <f>AND(VariableLengthSubnetMaskCalc.!D132+2&lt;J139,VariableLengthSubnetMaskCalc.!D132+2&gt;K139)</f>
        <v>0</v>
      </c>
      <c r="K137" s="94" t="b">
        <f>AND(VariableLengthSubnetMaskCalc.!D132+2&lt;K139,VariableLengthSubnetMaskCalc.!D132+2&gt;L139)</f>
        <v>0</v>
      </c>
      <c r="L137" s="60" t="b">
        <f>AND(VariableLengthSubnetMaskCalc.!D132+2&lt;L139,VariableLengthSubnetMaskCalc.!D132+2&gt;M139)</f>
        <v>0</v>
      </c>
      <c r="M137" s="60" t="b">
        <f>AND(VariableLengthSubnetMaskCalc.!D132+2&lt;M139,VariableLengthSubnetMaskCalc.!D132+2&gt;N139)</f>
        <v>0</v>
      </c>
      <c r="N137" s="60" t="b">
        <f>AND(VariableLengthSubnetMaskCalc.!D132+2&lt;N139,VariableLengthSubnetMaskCalc.!D132+2&gt;O139)</f>
        <v>0</v>
      </c>
      <c r="O137" s="60" t="b">
        <f>AND(VariableLengthSubnetMaskCalc.!D132+2&lt;O139,VariableLengthSubnetMaskCalc.!D132+2&gt;P139)</f>
        <v>0</v>
      </c>
      <c r="P137" s="60" t="b">
        <f>AND(VariableLengthSubnetMaskCalc.!D132+2&lt;P139,VariableLengthSubnetMaskCalc.!D132+2&gt;Q139)</f>
        <v>0</v>
      </c>
      <c r="Q137" s="60" t="b">
        <f>AND(VariableLengthSubnetMaskCalc.!D132+2&lt;Q139,VariableLengthSubnetMaskCalc.!D132+2&gt;R139)</f>
        <v>0</v>
      </c>
      <c r="R137" s="86" t="b">
        <f>AND(VariableLengthSubnetMaskCalc.!D132+2&lt;R139,VariableLengthSubnetMaskCalc.!D132+2&gt;S139)</f>
        <v>0</v>
      </c>
      <c r="S137" s="94" t="b">
        <f>AND(VariableLengthSubnetMaskCalc.!D132+2&lt;S139,VariableLengthSubnetMaskCalc.!D132+2&gt;T139)</f>
        <v>0</v>
      </c>
      <c r="T137" s="60" t="b">
        <f>AND(VariableLengthSubnetMaskCalc.!D132+2&lt;T139,VariableLengthSubnetMaskCalc.!D132+2&gt;U139)</f>
        <v>0</v>
      </c>
      <c r="U137" s="60" t="b">
        <f>AND(VariableLengthSubnetMaskCalc.!D132+2&lt;U139,VariableLengthSubnetMaskCalc.!D132+2&gt;V139)</f>
        <v>0</v>
      </c>
      <c r="V137" s="60" t="b">
        <f>AND(VariableLengthSubnetMaskCalc.!D132+2&lt;V139,VariableLengthSubnetMaskCalc.!D132+2&gt;W139)</f>
        <v>0</v>
      </c>
      <c r="W137" s="60" t="b">
        <f>AND(VariableLengthSubnetMaskCalc.!D132+2&lt;W139,VariableLengthSubnetMaskCalc.!D132+2&gt;X139)</f>
        <v>0</v>
      </c>
      <c r="X137" s="60" t="b">
        <f>AND(VariableLengthSubnetMaskCalc.!D132+2&lt;X139,VariableLengthSubnetMaskCalc.!D132+2&gt;Y139)</f>
        <v>0</v>
      </c>
      <c r="Y137" s="60" t="b">
        <f>AND(VariableLengthSubnetMaskCalc.!D132+2&lt;Y139,VariableLengthSubnetMaskCalc.!D132+2&gt;Z139)</f>
        <v>0</v>
      </c>
      <c r="Z137" s="86" t="b">
        <f>AND(VariableLengthSubnetMaskCalc.!D132+2&lt;Z139,VariableLengthSubnetMaskCalc.!D132+2&gt;AA139)</f>
        <v>0</v>
      </c>
      <c r="AA137" s="60" t="b">
        <f>AND(VariableLengthSubnetMaskCalc.!D132+2&lt;AA139,VariableLengthSubnetMaskCalc.!D132+2&gt;AB139)</f>
        <v>0</v>
      </c>
      <c r="AB137" s="60" t="b">
        <f>AND(VariableLengthSubnetMaskCalc.!D132+2&lt;AB139,VariableLengthSubnetMaskCalc.!D132+2&gt;AC139)</f>
        <v>0</v>
      </c>
      <c r="AC137" s="60" t="b">
        <f>AND(VariableLengthSubnetMaskCalc.!D132+2&lt;AC139,VariableLengthSubnetMaskCalc.!D132+2&gt;AD139)</f>
        <v>0</v>
      </c>
      <c r="AD137" s="60" t="b">
        <f>AND(VariableLengthSubnetMaskCalc.!D132+2&lt;AD139,VariableLengthSubnetMaskCalc.!D132+2&gt;AE139)</f>
        <v>0</v>
      </c>
      <c r="AE137" s="60" t="b">
        <f>AND(VariableLengthSubnetMaskCalc.!D132+2&lt;AE139,VariableLengthSubnetMaskCalc.!D132+2&gt;AF139)</f>
        <v>0</v>
      </c>
      <c r="AF137" s="60" t="b">
        <f>AND(VariableLengthSubnetMaskCalc.!D132+2&lt;AF139,VariableLengthSubnetMaskCalc.!D132+2&gt;AG139)</f>
        <v>0</v>
      </c>
      <c r="AG137" s="60" t="b">
        <f>AND(VariableLengthSubnetMaskCalc.!D132+2&lt;AG139,VariableLengthSubnetMaskCalc.!D132+2&gt;AH139)</f>
        <v>0</v>
      </c>
      <c r="AH137" s="74" t="b">
        <f>AND(VariableLengthSubnetMaskCalc.!D132+2&lt;AH139,VariableLengthSubnetMaskCalc.!D132+2&gt;0)</f>
        <v>0</v>
      </c>
      <c r="AI137" s="55"/>
    </row>
    <row r="138" spans="2:35">
      <c r="B138" s="99"/>
      <c r="C138" s="75">
        <f>AA139</f>
        <v>128</v>
      </c>
      <c r="D138" s="61">
        <f>AB139</f>
        <v>64</v>
      </c>
      <c r="E138" s="61">
        <f>AC139</f>
        <v>32</v>
      </c>
      <c r="F138" s="61">
        <f>AD139</f>
        <v>16</v>
      </c>
      <c r="G138" s="61">
        <f>AE139</f>
        <v>8</v>
      </c>
      <c r="H138" s="61">
        <f>AF139</f>
        <v>4</v>
      </c>
      <c r="I138" s="61">
        <f>AG139</f>
        <v>2</v>
      </c>
      <c r="J138" s="87">
        <f>AH139</f>
        <v>1</v>
      </c>
      <c r="K138" s="95">
        <f>AA139</f>
        <v>128</v>
      </c>
      <c r="L138" s="61">
        <f>AB139</f>
        <v>64</v>
      </c>
      <c r="M138" s="61">
        <f>AC139</f>
        <v>32</v>
      </c>
      <c r="N138" s="61">
        <f>AD139</f>
        <v>16</v>
      </c>
      <c r="O138" s="61">
        <f>AE139</f>
        <v>8</v>
      </c>
      <c r="P138" s="61">
        <f>AF139</f>
        <v>4</v>
      </c>
      <c r="Q138" s="61">
        <f>AG139</f>
        <v>2</v>
      </c>
      <c r="R138" s="87">
        <f>AH139</f>
        <v>1</v>
      </c>
      <c r="S138" s="95">
        <f>AA139</f>
        <v>128</v>
      </c>
      <c r="T138" s="61">
        <f>AB139</f>
        <v>64</v>
      </c>
      <c r="U138" s="61">
        <f>AC139</f>
        <v>32</v>
      </c>
      <c r="V138" s="61">
        <f>AD139</f>
        <v>16</v>
      </c>
      <c r="W138" s="61">
        <f>AE139</f>
        <v>8</v>
      </c>
      <c r="X138" s="61">
        <f>AF139</f>
        <v>4</v>
      </c>
      <c r="Y138" s="61">
        <f>AG139</f>
        <v>2</v>
      </c>
      <c r="Z138" s="87">
        <f>AH139</f>
        <v>1</v>
      </c>
      <c r="AA138" s="61">
        <f>AA139</f>
        <v>128</v>
      </c>
      <c r="AB138" s="61">
        <f>AB139</f>
        <v>64</v>
      </c>
      <c r="AC138" s="61">
        <f>AC139</f>
        <v>32</v>
      </c>
      <c r="AD138" s="61">
        <f>AD139</f>
        <v>16</v>
      </c>
      <c r="AE138" s="61">
        <f>AE139</f>
        <v>8</v>
      </c>
      <c r="AF138" s="61">
        <f>AF139</f>
        <v>4</v>
      </c>
      <c r="AG138" s="61">
        <f>AG139</f>
        <v>2</v>
      </c>
      <c r="AH138" s="76">
        <f>AH139</f>
        <v>1</v>
      </c>
      <c r="AI138" s="55"/>
    </row>
    <row r="139" spans="2:35">
      <c r="B139" s="99"/>
      <c r="C139" s="75">
        <f>D139*2</f>
        <v>2147483648</v>
      </c>
      <c r="D139" s="61">
        <f>E139*2</f>
        <v>1073741824</v>
      </c>
      <c r="E139" s="61">
        <f>F139*2</f>
        <v>536870912</v>
      </c>
      <c r="F139" s="61">
        <f>G139*2</f>
        <v>268435456</v>
      </c>
      <c r="G139" s="61">
        <f>H139*2</f>
        <v>134217728</v>
      </c>
      <c r="H139" s="61">
        <f>I139*2</f>
        <v>67108864</v>
      </c>
      <c r="I139" s="61">
        <f>J139*2</f>
        <v>33554432</v>
      </c>
      <c r="J139" s="87">
        <f>K139*2</f>
        <v>16777216</v>
      </c>
      <c r="K139" s="95">
        <f>L139*2</f>
        <v>8388608</v>
      </c>
      <c r="L139" s="61">
        <f>M139*2</f>
        <v>4194304</v>
      </c>
      <c r="M139" s="61">
        <f>N139*2</f>
        <v>2097152</v>
      </c>
      <c r="N139" s="61">
        <f>O139*2</f>
        <v>1048576</v>
      </c>
      <c r="O139" s="61">
        <f>P139*2</f>
        <v>524288</v>
      </c>
      <c r="P139" s="61">
        <f>Q139*2</f>
        <v>262144</v>
      </c>
      <c r="Q139" s="61">
        <f>R139*2</f>
        <v>131072</v>
      </c>
      <c r="R139" s="87">
        <f>S139*2</f>
        <v>65536</v>
      </c>
      <c r="S139" s="95">
        <f>T139*2</f>
        <v>32768</v>
      </c>
      <c r="T139" s="61">
        <f>U139*2</f>
        <v>16384</v>
      </c>
      <c r="U139" s="61">
        <f>V139*2</f>
        <v>8192</v>
      </c>
      <c r="V139" s="61">
        <f>W139*2</f>
        <v>4096</v>
      </c>
      <c r="W139" s="61">
        <f>X139*2</f>
        <v>2048</v>
      </c>
      <c r="X139" s="61">
        <f>Y139*2</f>
        <v>1024</v>
      </c>
      <c r="Y139" s="61">
        <f>Z139*2</f>
        <v>512</v>
      </c>
      <c r="Z139" s="87">
        <f>AA139*2</f>
        <v>256</v>
      </c>
      <c r="AA139" s="61">
        <f>AB139*2</f>
        <v>128</v>
      </c>
      <c r="AB139" s="61">
        <f>AC139*2</f>
        <v>64</v>
      </c>
      <c r="AC139" s="61">
        <f>AD139*2</f>
        <v>32</v>
      </c>
      <c r="AD139" s="61">
        <f>AE139*2</f>
        <v>16</v>
      </c>
      <c r="AE139" s="61">
        <f>AF139*2</f>
        <v>8</v>
      </c>
      <c r="AF139" s="61">
        <f>AG139*2</f>
        <v>4</v>
      </c>
      <c r="AG139" s="61">
        <f>AH139*2</f>
        <v>2</v>
      </c>
      <c r="AH139" s="76">
        <v>1</v>
      </c>
      <c r="AI139" s="55"/>
    </row>
    <row r="140" spans="2:35">
      <c r="B140" s="99"/>
      <c r="C140" s="77">
        <f>C130+1</f>
        <v>14</v>
      </c>
      <c r="D140" s="62"/>
      <c r="E140" s="62"/>
      <c r="F140" s="62"/>
      <c r="G140" s="62" t="str">
        <f>CONCATENATE(C140,"th")</f>
        <v>14th</v>
      </c>
      <c r="H140" s="62"/>
      <c r="I140" s="62"/>
      <c r="J140" s="88"/>
      <c r="K140" s="92"/>
      <c r="L140" s="58"/>
      <c r="M140" s="58"/>
      <c r="N140" s="58"/>
      <c r="O140" s="58"/>
      <c r="P140" s="58"/>
      <c r="Q140" s="58"/>
      <c r="R140" s="84"/>
      <c r="S140" s="92"/>
      <c r="T140" s="58"/>
      <c r="U140" s="58"/>
      <c r="V140" s="58"/>
      <c r="W140" s="58"/>
      <c r="X140" s="58"/>
      <c r="Y140" s="58"/>
      <c r="Z140" s="84"/>
      <c r="AA140" s="58"/>
      <c r="AB140" s="58"/>
      <c r="AC140" s="58"/>
      <c r="AD140" s="58"/>
      <c r="AE140" s="58"/>
      <c r="AF140" s="58"/>
      <c r="AG140" s="58"/>
      <c r="AH140" s="70"/>
      <c r="AI140" s="55"/>
    </row>
    <row r="141" spans="2:35" ht="15.75" thickBot="1">
      <c r="B141" s="100"/>
      <c r="C141" s="78" t="str">
        <f>IF(OR(VariableLengthSubnetMaskCalc.!$D$2="",VariableLengthSubnetMaskCalc.!$D$12="",VariableLengthSubnetMaskCalc.!$D$22="",VariableLengthSubnetMaskCalc.!$D$32="",VariableLengthSubnetMaskCalc.!$D$42="",VariableLengthSubnetMaskCalc.!$D$52="",VariableLengthSubnetMaskCalc.!$D$62="",VariableLengthSubnetMaskCalc.!$D$72="",VariableLengthSubnetMaskCalc.!$D$82="",VariableLengthSubnetMaskCalc.!$D$92="",VariableLengthSubnetMaskCalc.!$D$102="",VariableLengthSubnetMaskCalc.!$D$112="",VariableLengthSubnetMaskCalc.!$D$122="",VariableLengthSubnetMaskCalc.!$D$132=""),"",VariableLengthSubnetMaskCalc.!D132)</f>
        <v/>
      </c>
      <c r="D141" s="79"/>
      <c r="E141" s="79"/>
      <c r="F141" s="79"/>
      <c r="G141" s="79"/>
      <c r="H141" s="79"/>
      <c r="I141" s="79"/>
      <c r="J141" s="89"/>
      <c r="K141" s="96"/>
      <c r="L141" s="80"/>
      <c r="M141" s="80"/>
      <c r="N141" s="80"/>
      <c r="O141" s="80"/>
      <c r="P141" s="80"/>
      <c r="Q141" s="80"/>
      <c r="R141" s="97"/>
      <c r="S141" s="96"/>
      <c r="T141" s="80"/>
      <c r="U141" s="80"/>
      <c r="V141" s="80"/>
      <c r="W141" s="80"/>
      <c r="X141" s="80"/>
      <c r="Y141" s="80"/>
      <c r="Z141" s="97"/>
      <c r="AA141" s="80"/>
      <c r="AB141" s="80"/>
      <c r="AC141" s="80"/>
      <c r="AD141" s="80"/>
      <c r="AE141" s="80"/>
      <c r="AF141" s="80"/>
      <c r="AG141" s="80"/>
      <c r="AH141" s="81"/>
      <c r="AI141" s="55"/>
    </row>
    <row r="142" spans="2:35" ht="15" customHeight="1">
      <c r="B142" s="98" t="str">
        <f>VariableLengthSubnetMaskCalc.!B142</f>
        <v>15th
Network</v>
      </c>
      <c r="C142" s="64">
        <f>IF(VariableLengthSubnetMaskCalc.!D143&gt;C149,0,1)</f>
        <v>0</v>
      </c>
      <c r="D142" s="65">
        <f>IF(VariableLengthSubnetMaskCalc.!D143&gt;D149,0,1)</f>
        <v>0</v>
      </c>
      <c r="E142" s="65">
        <f>IF(VariableLengthSubnetMaskCalc.!D143&gt;E149,0,1)</f>
        <v>0</v>
      </c>
      <c r="F142" s="65">
        <f>IF(VariableLengthSubnetMaskCalc.!D143&gt;F149,0,1)</f>
        <v>0</v>
      </c>
      <c r="G142" s="65">
        <f>IF(VariableLengthSubnetMaskCalc.!D143&gt;G149,0,1)</f>
        <v>0</v>
      </c>
      <c r="H142" s="65">
        <f>IF(VariableLengthSubnetMaskCalc.!D143&gt;H149,0,1)</f>
        <v>0</v>
      </c>
      <c r="I142" s="65">
        <f>IF(VariableLengthSubnetMaskCalc.!D143&gt;I149,0,1)</f>
        <v>0</v>
      </c>
      <c r="J142" s="82">
        <f>IF(VariableLengthSubnetMaskCalc.!D143&gt;J149,0,1)</f>
        <v>0</v>
      </c>
      <c r="K142" s="90">
        <f>IF(VariableLengthSubnetMaskCalc.!D143&gt;K149,0,1)</f>
        <v>0</v>
      </c>
      <c r="L142" s="65">
        <f>IF(VariableLengthSubnetMaskCalc.!D143&gt;L149,0,1)</f>
        <v>0</v>
      </c>
      <c r="M142" s="65">
        <f>IF(VariableLengthSubnetMaskCalc.!D143&gt;M149,0,1)</f>
        <v>0</v>
      </c>
      <c r="N142" s="65">
        <f>IF(VariableLengthSubnetMaskCalc.!D143&gt;N149,0,1)</f>
        <v>0</v>
      </c>
      <c r="O142" s="65">
        <f>IF(VariableLengthSubnetMaskCalc.!D143&gt;O149,0,1)</f>
        <v>0</v>
      </c>
      <c r="P142" s="65">
        <f>IF(VariableLengthSubnetMaskCalc.!D143&gt;P149,0,1)</f>
        <v>0</v>
      </c>
      <c r="Q142" s="65">
        <f>IF(VariableLengthSubnetMaskCalc.!D143&gt;Q149,0,1)</f>
        <v>0</v>
      </c>
      <c r="R142" s="82">
        <f>IF(VariableLengthSubnetMaskCalc.!D143&gt;R149,0,1)</f>
        <v>0</v>
      </c>
      <c r="S142" s="90">
        <f>IF(VariableLengthSubnetMaskCalc.!D143&gt;S149,0,1)</f>
        <v>0</v>
      </c>
      <c r="T142" s="65">
        <f>IF(VariableLengthSubnetMaskCalc.!D143&gt;T149,0,1)</f>
        <v>0</v>
      </c>
      <c r="U142" s="65">
        <f>IF(VariableLengthSubnetMaskCalc.!D143&gt;U149,0,1)</f>
        <v>0</v>
      </c>
      <c r="V142" s="65">
        <f>IF(VariableLengthSubnetMaskCalc.!D143&gt;V149,0,1)</f>
        <v>0</v>
      </c>
      <c r="W142" s="65">
        <f>IF(VariableLengthSubnetMaskCalc.!D143&gt;W149,0,1)</f>
        <v>0</v>
      </c>
      <c r="X142" s="65">
        <f>IF(VariableLengthSubnetMaskCalc.!D143&gt;X149,0,1)</f>
        <v>0</v>
      </c>
      <c r="Y142" s="65">
        <f>IF(VariableLengthSubnetMaskCalc.!D143&gt;Y149,0,1)</f>
        <v>0</v>
      </c>
      <c r="Z142" s="82">
        <f>IF(VariableLengthSubnetMaskCalc.!D143&gt;Z149,0,1)</f>
        <v>0</v>
      </c>
      <c r="AA142" s="65">
        <f>IF(VariableLengthSubnetMaskCalc.!D143&gt;AA149,0,1)</f>
        <v>0</v>
      </c>
      <c r="AB142" s="65">
        <f>IF(VariableLengthSubnetMaskCalc.!D143&gt;AB149,0,1)</f>
        <v>0</v>
      </c>
      <c r="AC142" s="65">
        <f>IF(VariableLengthSubnetMaskCalc.!D143&gt;AC149,0,1)</f>
        <v>0</v>
      </c>
      <c r="AD142" s="65">
        <f>IF(VariableLengthSubnetMaskCalc.!D143&gt;AD149,0,1)</f>
        <v>0</v>
      </c>
      <c r="AE142" s="65">
        <f>IF(VariableLengthSubnetMaskCalc.!D143&gt;AE149,0,1)</f>
        <v>0</v>
      </c>
      <c r="AF142" s="65">
        <f>IF(VariableLengthSubnetMaskCalc.!D143&gt;AF149,0,1)</f>
        <v>0</v>
      </c>
      <c r="AG142" s="65">
        <f>IF(VariableLengthSubnetMaskCalc.!D143&gt;AG149,0,1)</f>
        <v>0</v>
      </c>
      <c r="AH142" s="66">
        <f>IF(VariableLengthSubnetMaskCalc.!D143&gt;AH149,0,1)</f>
        <v>0</v>
      </c>
      <c r="AI142" s="55"/>
    </row>
    <row r="143" spans="2:35">
      <c r="B143" s="99"/>
      <c r="C143" s="67">
        <f>IF(C142=1,0,1)</f>
        <v>1</v>
      </c>
      <c r="D143" s="57">
        <f>IF(D142=1,0,1)</f>
        <v>1</v>
      </c>
      <c r="E143" s="57">
        <f>IF(E142=1,0,1)</f>
        <v>1</v>
      </c>
      <c r="F143" s="57">
        <f>IF(F142=1,0,1)</f>
        <v>1</v>
      </c>
      <c r="G143" s="57">
        <f>IF(G142=1,0,1)</f>
        <v>1</v>
      </c>
      <c r="H143" s="57">
        <f>IF(H142=1,0,1)</f>
        <v>1</v>
      </c>
      <c r="I143" s="57">
        <f>IF(I142=1,0,1)</f>
        <v>1</v>
      </c>
      <c r="J143" s="83">
        <f>IF(J142=1,0,1)</f>
        <v>1</v>
      </c>
      <c r="K143" s="91">
        <f>IF(K142=1,0,1)</f>
        <v>1</v>
      </c>
      <c r="L143" s="57">
        <f>IF(L142=1,0,1)</f>
        <v>1</v>
      </c>
      <c r="M143" s="57">
        <f>IF(M142=1,0,1)</f>
        <v>1</v>
      </c>
      <c r="N143" s="57">
        <f>IF(N142=1,0,1)</f>
        <v>1</v>
      </c>
      <c r="O143" s="57">
        <f>IF(O142=1,0,1)</f>
        <v>1</v>
      </c>
      <c r="P143" s="57">
        <f>IF(P142=1,0,1)</f>
        <v>1</v>
      </c>
      <c r="Q143" s="57">
        <f>IF(Q142=1,0,1)</f>
        <v>1</v>
      </c>
      <c r="R143" s="83">
        <f>IF(R142=1,0,1)</f>
        <v>1</v>
      </c>
      <c r="S143" s="91">
        <f>IF(S142=1,0,1)</f>
        <v>1</v>
      </c>
      <c r="T143" s="57">
        <f>IF(T142=1,0,1)</f>
        <v>1</v>
      </c>
      <c r="U143" s="57">
        <f>IF(U142=1,0,1)</f>
        <v>1</v>
      </c>
      <c r="V143" s="57">
        <f>IF(V142=1,0,1)</f>
        <v>1</v>
      </c>
      <c r="W143" s="57">
        <f>IF(W142=1,0,1)</f>
        <v>1</v>
      </c>
      <c r="X143" s="57">
        <f>IF(X142=1,0,1)</f>
        <v>1</v>
      </c>
      <c r="Y143" s="57">
        <f>IF(Y142=1,0,1)</f>
        <v>1</v>
      </c>
      <c r="Z143" s="83">
        <f>IF(Z142=1,0,1)</f>
        <v>1</v>
      </c>
      <c r="AA143" s="57">
        <f>IF(AA142=1,0,1)</f>
        <v>1</v>
      </c>
      <c r="AB143" s="57">
        <f>IF(AB142=1,0,1)</f>
        <v>1</v>
      </c>
      <c r="AC143" s="57">
        <f>IF(AC142=1,0,1)</f>
        <v>1</v>
      </c>
      <c r="AD143" s="57">
        <f>IF(AD142=1,0,1)</f>
        <v>1</v>
      </c>
      <c r="AE143" s="57">
        <f>IF(AE142=1,0,1)</f>
        <v>1</v>
      </c>
      <c r="AF143" s="57">
        <f>IF(AF142=1,0,1)</f>
        <v>1</v>
      </c>
      <c r="AG143" s="57">
        <f>IF(AG142=1,0,1)</f>
        <v>1</v>
      </c>
      <c r="AH143" s="68">
        <f>IF(AH142=1,0,1)</f>
        <v>1</v>
      </c>
      <c r="AI143" s="55"/>
    </row>
    <row r="144" spans="2:35">
      <c r="B144" s="99"/>
      <c r="C144" s="69"/>
      <c r="D144" s="58"/>
      <c r="E144" s="58"/>
      <c r="F144" s="58"/>
      <c r="G144" s="58"/>
      <c r="H144" s="58"/>
      <c r="I144" s="58"/>
      <c r="J144" s="84"/>
      <c r="K144" s="92"/>
      <c r="L144" s="58"/>
      <c r="M144" s="58"/>
      <c r="N144" s="58"/>
      <c r="O144" s="58"/>
      <c r="P144" s="58"/>
      <c r="Q144" s="58"/>
      <c r="R144" s="84"/>
      <c r="S144" s="92"/>
      <c r="T144" s="58"/>
      <c r="U144" s="58"/>
      <c r="V144" s="58"/>
      <c r="W144" s="58"/>
      <c r="X144" s="58"/>
      <c r="Y144" s="58"/>
      <c r="Z144" s="84"/>
      <c r="AA144" s="58"/>
      <c r="AB144" s="58"/>
      <c r="AC144" s="58"/>
      <c r="AD144" s="58"/>
      <c r="AE144" s="58"/>
      <c r="AF144" s="58"/>
      <c r="AG144" s="58"/>
      <c r="AH144" s="70"/>
      <c r="AI144" s="55"/>
    </row>
    <row r="145" spans="2:35">
      <c r="B145" s="99"/>
      <c r="C145" s="71" t="str">
        <f>CONCATENATE(C142,D142,E142,F142,G142,H142,I142,J142)</f>
        <v>00000000</v>
      </c>
      <c r="D145" s="59"/>
      <c r="E145" s="59"/>
      <c r="F145" s="59"/>
      <c r="G145" s="59">
        <f>BIN2DEC(C145)</f>
        <v>0</v>
      </c>
      <c r="H145" s="59"/>
      <c r="I145" s="59"/>
      <c r="J145" s="85"/>
      <c r="K145" s="93" t="str">
        <f>CONCATENATE(K142,L142,M142,N142,O142,P142,Q142,R142)</f>
        <v>00000000</v>
      </c>
      <c r="L145" s="59"/>
      <c r="M145" s="59"/>
      <c r="N145" s="59"/>
      <c r="O145" s="59">
        <f>BIN2DEC(K145)</f>
        <v>0</v>
      </c>
      <c r="P145" s="59"/>
      <c r="Q145" s="59"/>
      <c r="R145" s="85"/>
      <c r="S145" s="93" t="str">
        <f>CONCATENATE(S142,T142,U142,V142,W142,X142,Y142,Z142)</f>
        <v>00000000</v>
      </c>
      <c r="T145" s="59"/>
      <c r="U145" s="59"/>
      <c r="V145" s="59"/>
      <c r="W145" s="59">
        <f>BIN2DEC(S145)</f>
        <v>0</v>
      </c>
      <c r="X145" s="59"/>
      <c r="Y145" s="59"/>
      <c r="Z145" s="85"/>
      <c r="AA145" s="59" t="str">
        <f>CONCATENATE(AA142,AB142,AC142,AD142,AE142,AF142,AG142,AH142)</f>
        <v>00000000</v>
      </c>
      <c r="AB145" s="59"/>
      <c r="AC145" s="59"/>
      <c r="AD145" s="59"/>
      <c r="AE145" s="59">
        <f>BIN2DEC(AA145)</f>
        <v>0</v>
      </c>
      <c r="AF145" s="59"/>
      <c r="AG145" s="59"/>
      <c r="AH145" s="72"/>
      <c r="AI145" s="55"/>
    </row>
    <row r="146" spans="2:35">
      <c r="B146" s="99"/>
      <c r="C146" s="71" t="str">
        <f>CONCATENATE(C143,D143,E143,F143,G143,H143,I143,J143,)</f>
        <v>11111111</v>
      </c>
      <c r="D146" s="59"/>
      <c r="E146" s="59"/>
      <c r="F146" s="59"/>
      <c r="G146" s="59">
        <f>BIN2DEC(C146)</f>
        <v>255</v>
      </c>
      <c r="H146" s="59"/>
      <c r="I146" s="59"/>
      <c r="J146" s="85"/>
      <c r="K146" s="93" t="str">
        <f>CONCATENATE(K143,L143,M143,N143,O143,P143,Q143,R143,)</f>
        <v>11111111</v>
      </c>
      <c r="L146" s="59"/>
      <c r="M146" s="59"/>
      <c r="N146" s="59"/>
      <c r="O146" s="59">
        <f>BIN2DEC(K146)</f>
        <v>255</v>
      </c>
      <c r="P146" s="59"/>
      <c r="Q146" s="59"/>
      <c r="R146" s="85"/>
      <c r="S146" s="93" t="str">
        <f>CONCATENATE(S143,T143,U143,V143,W143,X143,Y143,Z143,)</f>
        <v>11111111</v>
      </c>
      <c r="T146" s="59"/>
      <c r="U146" s="59"/>
      <c r="V146" s="59"/>
      <c r="W146" s="59">
        <f>BIN2DEC(S146)</f>
        <v>255</v>
      </c>
      <c r="X146" s="59"/>
      <c r="Y146" s="59"/>
      <c r="Z146" s="85"/>
      <c r="AA146" s="59" t="str">
        <f>CONCATENATE(AA143,AB143,AC143,AD143,AE143,AF143,AG143,AH143,)</f>
        <v>11111111</v>
      </c>
      <c r="AB146" s="59"/>
      <c r="AC146" s="59"/>
      <c r="AD146" s="59"/>
      <c r="AE146" s="59">
        <f>BIN2DEC(AA146)</f>
        <v>255</v>
      </c>
      <c r="AF146" s="59"/>
      <c r="AG146" s="59"/>
      <c r="AH146" s="72"/>
      <c r="AI146" s="55"/>
    </row>
    <row r="147" spans="2:35">
      <c r="B147" s="99"/>
      <c r="C147" s="73" t="b">
        <f>AND(VariableLengthSubnetMaskCalc.!D142+2&lt;C149,VariableLengthSubnetMaskCalc.!D142+2&gt;D149)</f>
        <v>0</v>
      </c>
      <c r="D147" s="60" t="b">
        <f>AND(VariableLengthSubnetMaskCalc.!D142+2&lt;D149,VariableLengthSubnetMaskCalc.!D142+2&gt;E149)</f>
        <v>0</v>
      </c>
      <c r="E147" s="60" t="b">
        <f>AND(VariableLengthSubnetMaskCalc.!D142+2&lt;E149,VariableLengthSubnetMaskCalc.!D142+2&gt;F149)</f>
        <v>0</v>
      </c>
      <c r="F147" s="60" t="b">
        <f>AND(VariableLengthSubnetMaskCalc.!D142+2&lt;F149,VariableLengthSubnetMaskCalc.!D142+2&gt;G149)</f>
        <v>0</v>
      </c>
      <c r="G147" s="60" t="b">
        <f>AND(VariableLengthSubnetMaskCalc.!D142+2&lt;G149,VariableLengthSubnetMaskCalc.!D142+2&gt;H149)</f>
        <v>0</v>
      </c>
      <c r="H147" s="60" t="b">
        <f>AND(VariableLengthSubnetMaskCalc.!D142+2&lt;H149,VariableLengthSubnetMaskCalc.!D142+2&gt;I149)</f>
        <v>0</v>
      </c>
      <c r="I147" s="60" t="b">
        <f>AND(VariableLengthSubnetMaskCalc.!D142+2&lt;I149,VariableLengthSubnetMaskCalc.!D142+2&gt;J149)</f>
        <v>0</v>
      </c>
      <c r="J147" s="86" t="b">
        <f>AND(VariableLengthSubnetMaskCalc.!D142+2&lt;J149,VariableLengthSubnetMaskCalc.!D142+2&gt;K149)</f>
        <v>0</v>
      </c>
      <c r="K147" s="94" t="b">
        <f>AND(VariableLengthSubnetMaskCalc.!D142+2&lt;K149,VariableLengthSubnetMaskCalc.!D142+2&gt;L149)</f>
        <v>0</v>
      </c>
      <c r="L147" s="60" t="b">
        <f>AND(VariableLengthSubnetMaskCalc.!D142+2&lt;L149,VariableLengthSubnetMaskCalc.!D142+2&gt;M149)</f>
        <v>0</v>
      </c>
      <c r="M147" s="60" t="b">
        <f>AND(VariableLengthSubnetMaskCalc.!D142+2&lt;M149,VariableLengthSubnetMaskCalc.!D142+2&gt;N149)</f>
        <v>0</v>
      </c>
      <c r="N147" s="60" t="b">
        <f>AND(VariableLengthSubnetMaskCalc.!D142+2&lt;N149,VariableLengthSubnetMaskCalc.!D142+2&gt;O149)</f>
        <v>0</v>
      </c>
      <c r="O147" s="60" t="b">
        <f>AND(VariableLengthSubnetMaskCalc.!D142+2&lt;O149,VariableLengthSubnetMaskCalc.!D142+2&gt;P149)</f>
        <v>0</v>
      </c>
      <c r="P147" s="60" t="b">
        <f>AND(VariableLengthSubnetMaskCalc.!D142+2&lt;P149,VariableLengthSubnetMaskCalc.!D142+2&gt;Q149)</f>
        <v>0</v>
      </c>
      <c r="Q147" s="60" t="b">
        <f>AND(VariableLengthSubnetMaskCalc.!D142+2&lt;Q149,VariableLengthSubnetMaskCalc.!D142+2&gt;R149)</f>
        <v>0</v>
      </c>
      <c r="R147" s="86" t="b">
        <f>AND(VariableLengthSubnetMaskCalc.!D142+2&lt;R149,VariableLengthSubnetMaskCalc.!D142+2&gt;S149)</f>
        <v>0</v>
      </c>
      <c r="S147" s="94" t="b">
        <f>AND(VariableLengthSubnetMaskCalc.!D142+2&lt;S149,VariableLengthSubnetMaskCalc.!D142+2&gt;T149)</f>
        <v>0</v>
      </c>
      <c r="T147" s="60" t="b">
        <f>AND(VariableLengthSubnetMaskCalc.!D142+2&lt;T149,VariableLengthSubnetMaskCalc.!D142+2&gt;U149)</f>
        <v>0</v>
      </c>
      <c r="U147" s="60" t="b">
        <f>AND(VariableLengthSubnetMaskCalc.!D142+2&lt;U149,VariableLengthSubnetMaskCalc.!D142+2&gt;V149)</f>
        <v>0</v>
      </c>
      <c r="V147" s="60" t="b">
        <f>AND(VariableLengthSubnetMaskCalc.!D142+2&lt;V149,VariableLengthSubnetMaskCalc.!D142+2&gt;W149)</f>
        <v>0</v>
      </c>
      <c r="W147" s="60" t="b">
        <f>AND(VariableLengthSubnetMaskCalc.!D142+2&lt;W149,VariableLengthSubnetMaskCalc.!D142+2&gt;X149)</f>
        <v>0</v>
      </c>
      <c r="X147" s="60" t="b">
        <f>AND(VariableLengthSubnetMaskCalc.!D142+2&lt;X149,VariableLengthSubnetMaskCalc.!D142+2&gt;Y149)</f>
        <v>0</v>
      </c>
      <c r="Y147" s="60" t="b">
        <f>AND(VariableLengthSubnetMaskCalc.!D142+2&lt;Y149,VariableLengthSubnetMaskCalc.!D142+2&gt;Z149)</f>
        <v>0</v>
      </c>
      <c r="Z147" s="86" t="b">
        <f>AND(VariableLengthSubnetMaskCalc.!D142+2&lt;Z149,VariableLengthSubnetMaskCalc.!D142+2&gt;AA149)</f>
        <v>0</v>
      </c>
      <c r="AA147" s="60" t="b">
        <f>AND(VariableLengthSubnetMaskCalc.!D142+2&lt;AA149,VariableLengthSubnetMaskCalc.!D142+2&gt;AB149)</f>
        <v>0</v>
      </c>
      <c r="AB147" s="60" t="b">
        <f>AND(VariableLengthSubnetMaskCalc.!D142+2&lt;AB149,VariableLengthSubnetMaskCalc.!D142+2&gt;AC149)</f>
        <v>0</v>
      </c>
      <c r="AC147" s="60" t="b">
        <f>AND(VariableLengthSubnetMaskCalc.!D142+2&lt;AC149,VariableLengthSubnetMaskCalc.!D142+2&gt;AD149)</f>
        <v>0</v>
      </c>
      <c r="AD147" s="60" t="b">
        <f>AND(VariableLengthSubnetMaskCalc.!D142+2&lt;AD149,VariableLengthSubnetMaskCalc.!D142+2&gt;AE149)</f>
        <v>0</v>
      </c>
      <c r="AE147" s="60" t="b">
        <f>AND(VariableLengthSubnetMaskCalc.!D142+2&lt;AE149,VariableLengthSubnetMaskCalc.!D142+2&gt;AF149)</f>
        <v>0</v>
      </c>
      <c r="AF147" s="60" t="b">
        <f>AND(VariableLengthSubnetMaskCalc.!D142+2&lt;AF149,VariableLengthSubnetMaskCalc.!D142+2&gt;AG149)</f>
        <v>0</v>
      </c>
      <c r="AG147" s="60" t="b">
        <f>AND(VariableLengthSubnetMaskCalc.!D142+2&lt;AG149,VariableLengthSubnetMaskCalc.!D142+2&gt;AH149)</f>
        <v>0</v>
      </c>
      <c r="AH147" s="74" t="b">
        <f>AND(VariableLengthSubnetMaskCalc.!D142+2&lt;AH149,VariableLengthSubnetMaskCalc.!D142+2&gt;0)</f>
        <v>0</v>
      </c>
      <c r="AI147" s="55"/>
    </row>
    <row r="148" spans="2:35">
      <c r="B148" s="99"/>
      <c r="C148" s="75">
        <f>AA149</f>
        <v>128</v>
      </c>
      <c r="D148" s="61">
        <f>AB149</f>
        <v>64</v>
      </c>
      <c r="E148" s="61">
        <f>AC149</f>
        <v>32</v>
      </c>
      <c r="F148" s="61">
        <f>AD149</f>
        <v>16</v>
      </c>
      <c r="G148" s="61">
        <f>AE149</f>
        <v>8</v>
      </c>
      <c r="H148" s="61">
        <f>AF149</f>
        <v>4</v>
      </c>
      <c r="I148" s="61">
        <f>AG149</f>
        <v>2</v>
      </c>
      <c r="J148" s="87">
        <f>AH149</f>
        <v>1</v>
      </c>
      <c r="K148" s="95">
        <f>AA149</f>
        <v>128</v>
      </c>
      <c r="L148" s="61">
        <f>AB149</f>
        <v>64</v>
      </c>
      <c r="M148" s="61">
        <f>AC149</f>
        <v>32</v>
      </c>
      <c r="N148" s="61">
        <f>AD149</f>
        <v>16</v>
      </c>
      <c r="O148" s="61">
        <f>AE149</f>
        <v>8</v>
      </c>
      <c r="P148" s="61">
        <f>AF149</f>
        <v>4</v>
      </c>
      <c r="Q148" s="61">
        <f>AG149</f>
        <v>2</v>
      </c>
      <c r="R148" s="87">
        <f>AH149</f>
        <v>1</v>
      </c>
      <c r="S148" s="95">
        <f>AA149</f>
        <v>128</v>
      </c>
      <c r="T148" s="61">
        <f>AB149</f>
        <v>64</v>
      </c>
      <c r="U148" s="61">
        <f>AC149</f>
        <v>32</v>
      </c>
      <c r="V148" s="61">
        <f>AD149</f>
        <v>16</v>
      </c>
      <c r="W148" s="61">
        <f>AE149</f>
        <v>8</v>
      </c>
      <c r="X148" s="61">
        <f>AF149</f>
        <v>4</v>
      </c>
      <c r="Y148" s="61">
        <f>AG149</f>
        <v>2</v>
      </c>
      <c r="Z148" s="87">
        <f>AH149</f>
        <v>1</v>
      </c>
      <c r="AA148" s="61">
        <f>AA149</f>
        <v>128</v>
      </c>
      <c r="AB148" s="61">
        <f>AB149</f>
        <v>64</v>
      </c>
      <c r="AC148" s="61">
        <f>AC149</f>
        <v>32</v>
      </c>
      <c r="AD148" s="61">
        <f>AD149</f>
        <v>16</v>
      </c>
      <c r="AE148" s="61">
        <f>AE149</f>
        <v>8</v>
      </c>
      <c r="AF148" s="61">
        <f>AF149</f>
        <v>4</v>
      </c>
      <c r="AG148" s="61">
        <f>AG149</f>
        <v>2</v>
      </c>
      <c r="AH148" s="76">
        <f>AH149</f>
        <v>1</v>
      </c>
      <c r="AI148" s="55"/>
    </row>
    <row r="149" spans="2:35">
      <c r="B149" s="99"/>
      <c r="C149" s="75">
        <f>D149*2</f>
        <v>2147483648</v>
      </c>
      <c r="D149" s="61">
        <f>E149*2</f>
        <v>1073741824</v>
      </c>
      <c r="E149" s="61">
        <f>F149*2</f>
        <v>536870912</v>
      </c>
      <c r="F149" s="61">
        <f>G149*2</f>
        <v>268435456</v>
      </c>
      <c r="G149" s="61">
        <f>H149*2</f>
        <v>134217728</v>
      </c>
      <c r="H149" s="61">
        <f>I149*2</f>
        <v>67108864</v>
      </c>
      <c r="I149" s="61">
        <f>J149*2</f>
        <v>33554432</v>
      </c>
      <c r="J149" s="87">
        <f>K149*2</f>
        <v>16777216</v>
      </c>
      <c r="K149" s="95">
        <f>L149*2</f>
        <v>8388608</v>
      </c>
      <c r="L149" s="61">
        <f>M149*2</f>
        <v>4194304</v>
      </c>
      <c r="M149" s="61">
        <f>N149*2</f>
        <v>2097152</v>
      </c>
      <c r="N149" s="61">
        <f>O149*2</f>
        <v>1048576</v>
      </c>
      <c r="O149" s="61">
        <f>P149*2</f>
        <v>524288</v>
      </c>
      <c r="P149" s="61">
        <f>Q149*2</f>
        <v>262144</v>
      </c>
      <c r="Q149" s="61">
        <f>R149*2</f>
        <v>131072</v>
      </c>
      <c r="R149" s="87">
        <f>S149*2</f>
        <v>65536</v>
      </c>
      <c r="S149" s="95">
        <f>T149*2</f>
        <v>32768</v>
      </c>
      <c r="T149" s="61">
        <f>U149*2</f>
        <v>16384</v>
      </c>
      <c r="U149" s="61">
        <f>V149*2</f>
        <v>8192</v>
      </c>
      <c r="V149" s="61">
        <f>W149*2</f>
        <v>4096</v>
      </c>
      <c r="W149" s="61">
        <f>X149*2</f>
        <v>2048</v>
      </c>
      <c r="X149" s="61">
        <f>Y149*2</f>
        <v>1024</v>
      </c>
      <c r="Y149" s="61">
        <f>Z149*2</f>
        <v>512</v>
      </c>
      <c r="Z149" s="87">
        <f>AA149*2</f>
        <v>256</v>
      </c>
      <c r="AA149" s="61">
        <f>AB149*2</f>
        <v>128</v>
      </c>
      <c r="AB149" s="61">
        <f>AC149*2</f>
        <v>64</v>
      </c>
      <c r="AC149" s="61">
        <f>AD149*2</f>
        <v>32</v>
      </c>
      <c r="AD149" s="61">
        <f>AE149*2</f>
        <v>16</v>
      </c>
      <c r="AE149" s="61">
        <f>AF149*2</f>
        <v>8</v>
      </c>
      <c r="AF149" s="61">
        <f>AG149*2</f>
        <v>4</v>
      </c>
      <c r="AG149" s="61">
        <f>AH149*2</f>
        <v>2</v>
      </c>
      <c r="AH149" s="76">
        <v>1</v>
      </c>
      <c r="AI149" s="55"/>
    </row>
    <row r="150" spans="2:35">
      <c r="B150" s="99"/>
      <c r="C150" s="77">
        <f>C140+1</f>
        <v>15</v>
      </c>
      <c r="D150" s="62"/>
      <c r="E150" s="62"/>
      <c r="F150" s="62"/>
      <c r="G150" s="62" t="str">
        <f>CONCATENATE(C150,"th")</f>
        <v>15th</v>
      </c>
      <c r="H150" s="62"/>
      <c r="I150" s="62"/>
      <c r="J150" s="88"/>
      <c r="K150" s="92"/>
      <c r="L150" s="58"/>
      <c r="M150" s="58"/>
      <c r="N150" s="58"/>
      <c r="O150" s="58"/>
      <c r="P150" s="58"/>
      <c r="Q150" s="58"/>
      <c r="R150" s="84"/>
      <c r="S150" s="92"/>
      <c r="T150" s="58"/>
      <c r="U150" s="58"/>
      <c r="V150" s="58"/>
      <c r="W150" s="58"/>
      <c r="X150" s="58"/>
      <c r="Y150" s="58"/>
      <c r="Z150" s="84"/>
      <c r="AA150" s="58"/>
      <c r="AB150" s="58"/>
      <c r="AC150" s="58"/>
      <c r="AD150" s="58"/>
      <c r="AE150" s="58"/>
      <c r="AF150" s="58"/>
      <c r="AG150" s="58"/>
      <c r="AH150" s="70"/>
      <c r="AI150" s="55"/>
    </row>
    <row r="151" spans="2:35" ht="15.75" thickBot="1">
      <c r="B151" s="100"/>
      <c r="C151" s="78" t="str">
        <f>IF(OR(VariableLengthSubnetMaskCalc.!$D$2="",VariableLengthSubnetMaskCalc.!$D$12="",VariableLengthSubnetMaskCalc.!$D$22="",VariableLengthSubnetMaskCalc.!$D$32="",VariableLengthSubnetMaskCalc.!$D$42="",VariableLengthSubnetMaskCalc.!$D$52="",VariableLengthSubnetMaskCalc.!$D$62="",VariableLengthSubnetMaskCalc.!$D$72="",VariableLengthSubnetMaskCalc.!$D$82="",VariableLengthSubnetMaskCalc.!$D$92="",VariableLengthSubnetMaskCalc.!$D$102="",VariableLengthSubnetMaskCalc.!$D$112="",VariableLengthSubnetMaskCalc.!$D$122="",VariableLengthSubnetMaskCalc.!$D$132="",VariableLengthSubnetMaskCalc.!$D$142=""),"",VariableLengthSubnetMaskCalc.!D142)</f>
        <v/>
      </c>
      <c r="D151" s="79"/>
      <c r="E151" s="79"/>
      <c r="F151" s="79"/>
      <c r="G151" s="79"/>
      <c r="H151" s="79"/>
      <c r="I151" s="79"/>
      <c r="J151" s="89"/>
      <c r="K151" s="96"/>
      <c r="L151" s="80"/>
      <c r="M151" s="80"/>
      <c r="N151" s="80"/>
      <c r="O151" s="80"/>
      <c r="P151" s="80"/>
      <c r="Q151" s="80"/>
      <c r="R151" s="97"/>
      <c r="S151" s="96"/>
      <c r="T151" s="80"/>
      <c r="U151" s="80"/>
      <c r="V151" s="80"/>
      <c r="W151" s="80"/>
      <c r="X151" s="80"/>
      <c r="Y151" s="80"/>
      <c r="Z151" s="97"/>
      <c r="AA151" s="80"/>
      <c r="AB151" s="80"/>
      <c r="AC151" s="80"/>
      <c r="AD151" s="80"/>
      <c r="AE151" s="80"/>
      <c r="AF151" s="80"/>
      <c r="AG151" s="80"/>
      <c r="AH151" s="81"/>
      <c r="AI151" s="55"/>
    </row>
    <row r="152" spans="2:35" ht="15" customHeight="1">
      <c r="B152" s="98" t="str">
        <f>VariableLengthSubnetMaskCalc.!B152</f>
        <v>16th
Network</v>
      </c>
      <c r="C152" s="64">
        <f>IF(VariableLengthSubnetMaskCalc.!D153&gt;C159,0,1)</f>
        <v>0</v>
      </c>
      <c r="D152" s="65">
        <f>IF(VariableLengthSubnetMaskCalc.!D153&gt;D159,0,1)</f>
        <v>0</v>
      </c>
      <c r="E152" s="65">
        <f>IF(VariableLengthSubnetMaskCalc.!D153&gt;E159,0,1)</f>
        <v>0</v>
      </c>
      <c r="F152" s="65">
        <f>IF(VariableLengthSubnetMaskCalc.!D153&gt;F159,0,1)</f>
        <v>0</v>
      </c>
      <c r="G152" s="65">
        <f>IF(VariableLengthSubnetMaskCalc.!D153&gt;G159,0,1)</f>
        <v>0</v>
      </c>
      <c r="H152" s="65">
        <f>IF(VariableLengthSubnetMaskCalc.!D153&gt;H159,0,1)</f>
        <v>0</v>
      </c>
      <c r="I152" s="65">
        <f>IF(VariableLengthSubnetMaskCalc.!D153&gt;I159,0,1)</f>
        <v>0</v>
      </c>
      <c r="J152" s="82">
        <f>IF(VariableLengthSubnetMaskCalc.!D153&gt;J159,0,1)</f>
        <v>0</v>
      </c>
      <c r="K152" s="90">
        <f>IF(VariableLengthSubnetMaskCalc.!D153&gt;K159,0,1)</f>
        <v>0</v>
      </c>
      <c r="L152" s="65">
        <f>IF(VariableLengthSubnetMaskCalc.!D153&gt;L159,0,1)</f>
        <v>0</v>
      </c>
      <c r="M152" s="65">
        <f>IF(VariableLengthSubnetMaskCalc.!D153&gt;M159,0,1)</f>
        <v>0</v>
      </c>
      <c r="N152" s="65">
        <f>IF(VariableLengthSubnetMaskCalc.!D153&gt;N159,0,1)</f>
        <v>0</v>
      </c>
      <c r="O152" s="65">
        <f>IF(VariableLengthSubnetMaskCalc.!D153&gt;O159,0,1)</f>
        <v>0</v>
      </c>
      <c r="P152" s="65">
        <f>IF(VariableLengthSubnetMaskCalc.!D153&gt;P159,0,1)</f>
        <v>0</v>
      </c>
      <c r="Q152" s="65">
        <f>IF(VariableLengthSubnetMaskCalc.!D153&gt;Q159,0,1)</f>
        <v>0</v>
      </c>
      <c r="R152" s="82">
        <f>IF(VariableLengthSubnetMaskCalc.!D153&gt;R159,0,1)</f>
        <v>0</v>
      </c>
      <c r="S152" s="90">
        <f>IF(VariableLengthSubnetMaskCalc.!D153&gt;S159,0,1)</f>
        <v>0</v>
      </c>
      <c r="T152" s="65">
        <f>IF(VariableLengthSubnetMaskCalc.!D153&gt;T159,0,1)</f>
        <v>0</v>
      </c>
      <c r="U152" s="65">
        <f>IF(VariableLengthSubnetMaskCalc.!D153&gt;U159,0,1)</f>
        <v>0</v>
      </c>
      <c r="V152" s="65">
        <f>IF(VariableLengthSubnetMaskCalc.!D153&gt;V159,0,1)</f>
        <v>0</v>
      </c>
      <c r="W152" s="65">
        <f>IF(VariableLengthSubnetMaskCalc.!D153&gt;W159,0,1)</f>
        <v>0</v>
      </c>
      <c r="X152" s="65">
        <f>IF(VariableLengthSubnetMaskCalc.!D153&gt;X159,0,1)</f>
        <v>0</v>
      </c>
      <c r="Y152" s="65">
        <f>IF(VariableLengthSubnetMaskCalc.!D153&gt;Y159,0,1)</f>
        <v>0</v>
      </c>
      <c r="Z152" s="82">
        <f>IF(VariableLengthSubnetMaskCalc.!D153&gt;Z159,0,1)</f>
        <v>0</v>
      </c>
      <c r="AA152" s="65">
        <f>IF(VariableLengthSubnetMaskCalc.!D153&gt;AA159,0,1)</f>
        <v>0</v>
      </c>
      <c r="AB152" s="65">
        <f>IF(VariableLengthSubnetMaskCalc.!D153&gt;AB159,0,1)</f>
        <v>0</v>
      </c>
      <c r="AC152" s="65">
        <f>IF(VariableLengthSubnetMaskCalc.!D153&gt;AC159,0,1)</f>
        <v>0</v>
      </c>
      <c r="AD152" s="65">
        <f>IF(VariableLengthSubnetMaskCalc.!D153&gt;AD159,0,1)</f>
        <v>0</v>
      </c>
      <c r="AE152" s="65">
        <f>IF(VariableLengthSubnetMaskCalc.!D153&gt;AE159,0,1)</f>
        <v>0</v>
      </c>
      <c r="AF152" s="65">
        <f>IF(VariableLengthSubnetMaskCalc.!D153&gt;AF159,0,1)</f>
        <v>0</v>
      </c>
      <c r="AG152" s="65">
        <f>IF(VariableLengthSubnetMaskCalc.!D153&gt;AG159,0,1)</f>
        <v>0</v>
      </c>
      <c r="AH152" s="66">
        <f>IF(VariableLengthSubnetMaskCalc.!D153&gt;AH159,0,1)</f>
        <v>0</v>
      </c>
      <c r="AI152" s="55"/>
    </row>
    <row r="153" spans="2:35">
      <c r="B153" s="99"/>
      <c r="C153" s="67">
        <f>IF(C152=1,0,1)</f>
        <v>1</v>
      </c>
      <c r="D153" s="57">
        <f>IF(D152=1,0,1)</f>
        <v>1</v>
      </c>
      <c r="E153" s="57">
        <f>IF(E152=1,0,1)</f>
        <v>1</v>
      </c>
      <c r="F153" s="57">
        <f>IF(F152=1,0,1)</f>
        <v>1</v>
      </c>
      <c r="G153" s="57">
        <f>IF(G152=1,0,1)</f>
        <v>1</v>
      </c>
      <c r="H153" s="57">
        <f>IF(H152=1,0,1)</f>
        <v>1</v>
      </c>
      <c r="I153" s="57">
        <f>IF(I152=1,0,1)</f>
        <v>1</v>
      </c>
      <c r="J153" s="83">
        <f>IF(J152=1,0,1)</f>
        <v>1</v>
      </c>
      <c r="K153" s="91">
        <f>IF(K152=1,0,1)</f>
        <v>1</v>
      </c>
      <c r="L153" s="57">
        <f>IF(L152=1,0,1)</f>
        <v>1</v>
      </c>
      <c r="M153" s="57">
        <f>IF(M152=1,0,1)</f>
        <v>1</v>
      </c>
      <c r="N153" s="57">
        <f>IF(N152=1,0,1)</f>
        <v>1</v>
      </c>
      <c r="O153" s="57">
        <f>IF(O152=1,0,1)</f>
        <v>1</v>
      </c>
      <c r="P153" s="57">
        <f>IF(P152=1,0,1)</f>
        <v>1</v>
      </c>
      <c r="Q153" s="57">
        <f>IF(Q152=1,0,1)</f>
        <v>1</v>
      </c>
      <c r="R153" s="83">
        <f>IF(R152=1,0,1)</f>
        <v>1</v>
      </c>
      <c r="S153" s="91">
        <f>IF(S152=1,0,1)</f>
        <v>1</v>
      </c>
      <c r="T153" s="57">
        <f>IF(T152=1,0,1)</f>
        <v>1</v>
      </c>
      <c r="U153" s="57">
        <f>IF(U152=1,0,1)</f>
        <v>1</v>
      </c>
      <c r="V153" s="57">
        <f>IF(V152=1,0,1)</f>
        <v>1</v>
      </c>
      <c r="W153" s="57">
        <f>IF(W152=1,0,1)</f>
        <v>1</v>
      </c>
      <c r="X153" s="57">
        <f>IF(X152=1,0,1)</f>
        <v>1</v>
      </c>
      <c r="Y153" s="57">
        <f>IF(Y152=1,0,1)</f>
        <v>1</v>
      </c>
      <c r="Z153" s="83">
        <f>IF(Z152=1,0,1)</f>
        <v>1</v>
      </c>
      <c r="AA153" s="57">
        <f>IF(AA152=1,0,1)</f>
        <v>1</v>
      </c>
      <c r="AB153" s="57">
        <f>IF(AB152=1,0,1)</f>
        <v>1</v>
      </c>
      <c r="AC153" s="57">
        <f>IF(AC152=1,0,1)</f>
        <v>1</v>
      </c>
      <c r="AD153" s="57">
        <f>IF(AD152=1,0,1)</f>
        <v>1</v>
      </c>
      <c r="AE153" s="57">
        <f>IF(AE152=1,0,1)</f>
        <v>1</v>
      </c>
      <c r="AF153" s="57">
        <f>IF(AF152=1,0,1)</f>
        <v>1</v>
      </c>
      <c r="AG153" s="57">
        <f>IF(AG152=1,0,1)</f>
        <v>1</v>
      </c>
      <c r="AH153" s="68">
        <f>IF(AH152=1,0,1)</f>
        <v>1</v>
      </c>
      <c r="AI153" s="55"/>
    </row>
    <row r="154" spans="2:35">
      <c r="B154" s="99"/>
      <c r="C154" s="69"/>
      <c r="D154" s="58"/>
      <c r="E154" s="58"/>
      <c r="F154" s="58"/>
      <c r="G154" s="58"/>
      <c r="H154" s="58"/>
      <c r="I154" s="58"/>
      <c r="J154" s="84"/>
      <c r="K154" s="92"/>
      <c r="L154" s="58"/>
      <c r="M154" s="58"/>
      <c r="N154" s="58"/>
      <c r="O154" s="58"/>
      <c r="P154" s="58"/>
      <c r="Q154" s="58"/>
      <c r="R154" s="84"/>
      <c r="S154" s="92"/>
      <c r="T154" s="58"/>
      <c r="U154" s="58"/>
      <c r="V154" s="58"/>
      <c r="W154" s="58"/>
      <c r="X154" s="58"/>
      <c r="Y154" s="58"/>
      <c r="Z154" s="84"/>
      <c r="AA154" s="58"/>
      <c r="AB154" s="58"/>
      <c r="AC154" s="58"/>
      <c r="AD154" s="58"/>
      <c r="AE154" s="58"/>
      <c r="AF154" s="58"/>
      <c r="AG154" s="58"/>
      <c r="AH154" s="70"/>
      <c r="AI154" s="55"/>
    </row>
    <row r="155" spans="2:35">
      <c r="B155" s="99"/>
      <c r="C155" s="71" t="str">
        <f>CONCATENATE(C152,D152,E152,F152,G152,H152,I152,J152)</f>
        <v>00000000</v>
      </c>
      <c r="D155" s="59"/>
      <c r="E155" s="59"/>
      <c r="F155" s="59"/>
      <c r="G155" s="59">
        <f>BIN2DEC(C155)</f>
        <v>0</v>
      </c>
      <c r="H155" s="59"/>
      <c r="I155" s="59"/>
      <c r="J155" s="85"/>
      <c r="K155" s="93" t="str">
        <f>CONCATENATE(K152,L152,M152,N152,O152,P152,Q152,R152)</f>
        <v>00000000</v>
      </c>
      <c r="L155" s="59"/>
      <c r="M155" s="59"/>
      <c r="N155" s="59"/>
      <c r="O155" s="59">
        <f>BIN2DEC(K155)</f>
        <v>0</v>
      </c>
      <c r="P155" s="59"/>
      <c r="Q155" s="59"/>
      <c r="R155" s="85"/>
      <c r="S155" s="93" t="str">
        <f>CONCATENATE(S152,T152,U152,V152,W152,X152,Y152,Z152)</f>
        <v>00000000</v>
      </c>
      <c r="T155" s="59"/>
      <c r="U155" s="59"/>
      <c r="V155" s="59"/>
      <c r="W155" s="59">
        <f>BIN2DEC(S155)</f>
        <v>0</v>
      </c>
      <c r="X155" s="59"/>
      <c r="Y155" s="59"/>
      <c r="Z155" s="85"/>
      <c r="AA155" s="59" t="str">
        <f>CONCATENATE(AA152,AB152,AC152,AD152,AE152,AF152,AG152,AH152)</f>
        <v>00000000</v>
      </c>
      <c r="AB155" s="59"/>
      <c r="AC155" s="59"/>
      <c r="AD155" s="59"/>
      <c r="AE155" s="59">
        <f>BIN2DEC(AA155)</f>
        <v>0</v>
      </c>
      <c r="AF155" s="59"/>
      <c r="AG155" s="59"/>
      <c r="AH155" s="72"/>
      <c r="AI155" s="55"/>
    </row>
    <row r="156" spans="2:35">
      <c r="B156" s="99"/>
      <c r="C156" s="71" t="str">
        <f>CONCATENATE(C153,D153,E153,F153,G153,H153,I153,J153,)</f>
        <v>11111111</v>
      </c>
      <c r="D156" s="59"/>
      <c r="E156" s="59"/>
      <c r="F156" s="59"/>
      <c r="G156" s="59">
        <f>BIN2DEC(C156)</f>
        <v>255</v>
      </c>
      <c r="H156" s="59"/>
      <c r="I156" s="59"/>
      <c r="J156" s="85"/>
      <c r="K156" s="93" t="str">
        <f>CONCATENATE(K153,L153,M153,N153,O153,P153,Q153,R153,)</f>
        <v>11111111</v>
      </c>
      <c r="L156" s="59"/>
      <c r="M156" s="59"/>
      <c r="N156" s="59"/>
      <c r="O156" s="59">
        <f>BIN2DEC(K156)</f>
        <v>255</v>
      </c>
      <c r="P156" s="59"/>
      <c r="Q156" s="59"/>
      <c r="R156" s="85"/>
      <c r="S156" s="93" t="str">
        <f>CONCATENATE(S153,T153,U153,V153,W153,X153,Y153,Z153,)</f>
        <v>11111111</v>
      </c>
      <c r="T156" s="59"/>
      <c r="U156" s="59"/>
      <c r="V156" s="59"/>
      <c r="W156" s="59">
        <f>BIN2DEC(S156)</f>
        <v>255</v>
      </c>
      <c r="X156" s="59"/>
      <c r="Y156" s="59"/>
      <c r="Z156" s="85"/>
      <c r="AA156" s="59" t="str">
        <f>CONCATENATE(AA153,AB153,AC153,AD153,AE153,AF153,AG153,AH153,)</f>
        <v>11111111</v>
      </c>
      <c r="AB156" s="59"/>
      <c r="AC156" s="59"/>
      <c r="AD156" s="59"/>
      <c r="AE156" s="59">
        <f>BIN2DEC(AA156)</f>
        <v>255</v>
      </c>
      <c r="AF156" s="59"/>
      <c r="AG156" s="59"/>
      <c r="AH156" s="72"/>
      <c r="AI156" s="55"/>
    </row>
    <row r="157" spans="2:35">
      <c r="B157" s="99"/>
      <c r="C157" s="73" t="b">
        <f>AND(VariableLengthSubnetMaskCalc.!D152+2&lt;C159,VariableLengthSubnetMaskCalc.!D152+2&gt;D159)</f>
        <v>0</v>
      </c>
      <c r="D157" s="60" t="b">
        <f>AND(VariableLengthSubnetMaskCalc.!D152+2&lt;D159,VariableLengthSubnetMaskCalc.!D152+2&gt;E159)</f>
        <v>0</v>
      </c>
      <c r="E157" s="60" t="b">
        <f>AND(VariableLengthSubnetMaskCalc.!D152+2&lt;E159,VariableLengthSubnetMaskCalc.!D152+2&gt;F159)</f>
        <v>0</v>
      </c>
      <c r="F157" s="60" t="b">
        <f>AND(VariableLengthSubnetMaskCalc.!D152+2&lt;F159,VariableLengthSubnetMaskCalc.!D152+2&gt;G159)</f>
        <v>0</v>
      </c>
      <c r="G157" s="60" t="b">
        <f>AND(VariableLengthSubnetMaskCalc.!D152+2&lt;G159,VariableLengthSubnetMaskCalc.!D152+2&gt;H159)</f>
        <v>0</v>
      </c>
      <c r="H157" s="60" t="b">
        <f>AND(VariableLengthSubnetMaskCalc.!D152+2&lt;H159,VariableLengthSubnetMaskCalc.!D152+2&gt;I159)</f>
        <v>0</v>
      </c>
      <c r="I157" s="60" t="b">
        <f>AND(VariableLengthSubnetMaskCalc.!D152+2&lt;I159,VariableLengthSubnetMaskCalc.!D152+2&gt;J159)</f>
        <v>0</v>
      </c>
      <c r="J157" s="86" t="b">
        <f>AND(VariableLengthSubnetMaskCalc.!D152+2&lt;J159,VariableLengthSubnetMaskCalc.!D152+2&gt;K159)</f>
        <v>0</v>
      </c>
      <c r="K157" s="94" t="b">
        <f>AND(VariableLengthSubnetMaskCalc.!D152+2&lt;K159,VariableLengthSubnetMaskCalc.!D152+2&gt;L159)</f>
        <v>0</v>
      </c>
      <c r="L157" s="60" t="b">
        <f>AND(VariableLengthSubnetMaskCalc.!D152+2&lt;L159,VariableLengthSubnetMaskCalc.!D152+2&gt;M159)</f>
        <v>0</v>
      </c>
      <c r="M157" s="60" t="b">
        <f>AND(VariableLengthSubnetMaskCalc.!D152+2&lt;M159,VariableLengthSubnetMaskCalc.!D152+2&gt;N159)</f>
        <v>0</v>
      </c>
      <c r="N157" s="60" t="b">
        <f>AND(VariableLengthSubnetMaskCalc.!D152+2&lt;N159,VariableLengthSubnetMaskCalc.!D152+2&gt;O159)</f>
        <v>0</v>
      </c>
      <c r="O157" s="60" t="b">
        <f>AND(VariableLengthSubnetMaskCalc.!D152+2&lt;O159,VariableLengthSubnetMaskCalc.!D152+2&gt;P159)</f>
        <v>0</v>
      </c>
      <c r="P157" s="60" t="b">
        <f>AND(VariableLengthSubnetMaskCalc.!D152+2&lt;P159,VariableLengthSubnetMaskCalc.!D152+2&gt;Q159)</f>
        <v>0</v>
      </c>
      <c r="Q157" s="60" t="b">
        <f>AND(VariableLengthSubnetMaskCalc.!D152+2&lt;Q159,VariableLengthSubnetMaskCalc.!D152+2&gt;R159)</f>
        <v>0</v>
      </c>
      <c r="R157" s="86" t="b">
        <f>AND(VariableLengthSubnetMaskCalc.!D152+2&lt;R159,VariableLengthSubnetMaskCalc.!D152+2&gt;S159)</f>
        <v>0</v>
      </c>
      <c r="S157" s="94" t="b">
        <f>AND(VariableLengthSubnetMaskCalc.!D152+2&lt;S159,VariableLengthSubnetMaskCalc.!D152+2&gt;T159)</f>
        <v>0</v>
      </c>
      <c r="T157" s="60" t="b">
        <f>AND(VariableLengthSubnetMaskCalc.!D152+2&lt;T159,VariableLengthSubnetMaskCalc.!D152+2&gt;U159)</f>
        <v>0</v>
      </c>
      <c r="U157" s="60" t="b">
        <f>AND(VariableLengthSubnetMaskCalc.!D152+2&lt;U159,VariableLengthSubnetMaskCalc.!D152+2&gt;V159)</f>
        <v>0</v>
      </c>
      <c r="V157" s="60" t="b">
        <f>AND(VariableLengthSubnetMaskCalc.!D152+2&lt;V159,VariableLengthSubnetMaskCalc.!D152+2&gt;W159)</f>
        <v>0</v>
      </c>
      <c r="W157" s="60" t="b">
        <f>AND(VariableLengthSubnetMaskCalc.!D152+2&lt;W159,VariableLengthSubnetMaskCalc.!D152+2&gt;X159)</f>
        <v>0</v>
      </c>
      <c r="X157" s="60" t="b">
        <f>AND(VariableLengthSubnetMaskCalc.!D152+2&lt;X159,VariableLengthSubnetMaskCalc.!D152+2&gt;Y159)</f>
        <v>0</v>
      </c>
      <c r="Y157" s="60" t="b">
        <f>AND(VariableLengthSubnetMaskCalc.!D152+2&lt;Y159,VariableLengthSubnetMaskCalc.!D152+2&gt;Z159)</f>
        <v>0</v>
      </c>
      <c r="Z157" s="86" t="b">
        <f>AND(VariableLengthSubnetMaskCalc.!D152+2&lt;Z159,VariableLengthSubnetMaskCalc.!D152+2&gt;AA159)</f>
        <v>0</v>
      </c>
      <c r="AA157" s="60" t="b">
        <f>AND(VariableLengthSubnetMaskCalc.!D152+2&lt;AA159,VariableLengthSubnetMaskCalc.!D152+2&gt;AB159)</f>
        <v>0</v>
      </c>
      <c r="AB157" s="60" t="b">
        <f>AND(VariableLengthSubnetMaskCalc.!D152+2&lt;AB159,VariableLengthSubnetMaskCalc.!D152+2&gt;AC159)</f>
        <v>0</v>
      </c>
      <c r="AC157" s="60" t="b">
        <f>AND(VariableLengthSubnetMaskCalc.!D152+2&lt;AC159,VariableLengthSubnetMaskCalc.!D152+2&gt;AD159)</f>
        <v>0</v>
      </c>
      <c r="AD157" s="60" t="b">
        <f>AND(VariableLengthSubnetMaskCalc.!D152+2&lt;AD159,VariableLengthSubnetMaskCalc.!D152+2&gt;AE159)</f>
        <v>0</v>
      </c>
      <c r="AE157" s="60" t="b">
        <f>AND(VariableLengthSubnetMaskCalc.!D152+2&lt;AE159,VariableLengthSubnetMaskCalc.!D152+2&gt;AF159)</f>
        <v>0</v>
      </c>
      <c r="AF157" s="60" t="b">
        <f>AND(VariableLengthSubnetMaskCalc.!D152+2&lt;AF159,VariableLengthSubnetMaskCalc.!D152+2&gt;AG159)</f>
        <v>0</v>
      </c>
      <c r="AG157" s="60" t="b">
        <f>AND(VariableLengthSubnetMaskCalc.!D152+2&lt;AG159,VariableLengthSubnetMaskCalc.!D152+2&gt;AH159)</f>
        <v>0</v>
      </c>
      <c r="AH157" s="74" t="b">
        <f>AND(VariableLengthSubnetMaskCalc.!D152+2&lt;AH159,VariableLengthSubnetMaskCalc.!D152+2&gt;0)</f>
        <v>0</v>
      </c>
      <c r="AI157" s="55"/>
    </row>
    <row r="158" spans="2:35">
      <c r="B158" s="99"/>
      <c r="C158" s="75">
        <f>AA159</f>
        <v>128</v>
      </c>
      <c r="D158" s="61">
        <f>AB159</f>
        <v>64</v>
      </c>
      <c r="E158" s="61">
        <f>AC159</f>
        <v>32</v>
      </c>
      <c r="F158" s="61">
        <f>AD159</f>
        <v>16</v>
      </c>
      <c r="G158" s="61">
        <f>AE159</f>
        <v>8</v>
      </c>
      <c r="H158" s="61">
        <f>AF159</f>
        <v>4</v>
      </c>
      <c r="I158" s="61">
        <f>AG159</f>
        <v>2</v>
      </c>
      <c r="J158" s="87">
        <f>AH159</f>
        <v>1</v>
      </c>
      <c r="K158" s="95">
        <f>AA159</f>
        <v>128</v>
      </c>
      <c r="L158" s="61">
        <f>AB159</f>
        <v>64</v>
      </c>
      <c r="M158" s="61">
        <f>AC159</f>
        <v>32</v>
      </c>
      <c r="N158" s="61">
        <f>AD159</f>
        <v>16</v>
      </c>
      <c r="O158" s="61">
        <f>AE159</f>
        <v>8</v>
      </c>
      <c r="P158" s="61">
        <f>AF159</f>
        <v>4</v>
      </c>
      <c r="Q158" s="61">
        <f>AG159</f>
        <v>2</v>
      </c>
      <c r="R158" s="87">
        <f>AH159</f>
        <v>1</v>
      </c>
      <c r="S158" s="95">
        <f>AA159</f>
        <v>128</v>
      </c>
      <c r="T158" s="61">
        <f>AB159</f>
        <v>64</v>
      </c>
      <c r="U158" s="61">
        <f>AC159</f>
        <v>32</v>
      </c>
      <c r="V158" s="61">
        <f>AD159</f>
        <v>16</v>
      </c>
      <c r="W158" s="61">
        <f>AE159</f>
        <v>8</v>
      </c>
      <c r="X158" s="61">
        <f>AF159</f>
        <v>4</v>
      </c>
      <c r="Y158" s="61">
        <f>AG159</f>
        <v>2</v>
      </c>
      <c r="Z158" s="87">
        <f>AH159</f>
        <v>1</v>
      </c>
      <c r="AA158" s="61">
        <f>AA159</f>
        <v>128</v>
      </c>
      <c r="AB158" s="61">
        <f>AB159</f>
        <v>64</v>
      </c>
      <c r="AC158" s="61">
        <f>AC159</f>
        <v>32</v>
      </c>
      <c r="AD158" s="61">
        <f>AD159</f>
        <v>16</v>
      </c>
      <c r="AE158" s="61">
        <f>AE159</f>
        <v>8</v>
      </c>
      <c r="AF158" s="61">
        <f>AF159</f>
        <v>4</v>
      </c>
      <c r="AG158" s="61">
        <f>AG159</f>
        <v>2</v>
      </c>
      <c r="AH158" s="76">
        <f>AH159</f>
        <v>1</v>
      </c>
      <c r="AI158" s="55"/>
    </row>
    <row r="159" spans="2:35">
      <c r="B159" s="99"/>
      <c r="C159" s="75">
        <f>D159*2</f>
        <v>2147483648</v>
      </c>
      <c r="D159" s="61">
        <f>E159*2</f>
        <v>1073741824</v>
      </c>
      <c r="E159" s="61">
        <f>F159*2</f>
        <v>536870912</v>
      </c>
      <c r="F159" s="61">
        <f>G159*2</f>
        <v>268435456</v>
      </c>
      <c r="G159" s="61">
        <f>H159*2</f>
        <v>134217728</v>
      </c>
      <c r="H159" s="61">
        <f>I159*2</f>
        <v>67108864</v>
      </c>
      <c r="I159" s="61">
        <f>J159*2</f>
        <v>33554432</v>
      </c>
      <c r="J159" s="87">
        <f>K159*2</f>
        <v>16777216</v>
      </c>
      <c r="K159" s="95">
        <f>L159*2</f>
        <v>8388608</v>
      </c>
      <c r="L159" s="61">
        <f>M159*2</f>
        <v>4194304</v>
      </c>
      <c r="M159" s="61">
        <f>N159*2</f>
        <v>2097152</v>
      </c>
      <c r="N159" s="61">
        <f>O159*2</f>
        <v>1048576</v>
      </c>
      <c r="O159" s="61">
        <f>P159*2</f>
        <v>524288</v>
      </c>
      <c r="P159" s="61">
        <f>Q159*2</f>
        <v>262144</v>
      </c>
      <c r="Q159" s="61">
        <f>R159*2</f>
        <v>131072</v>
      </c>
      <c r="R159" s="87">
        <f>S159*2</f>
        <v>65536</v>
      </c>
      <c r="S159" s="95">
        <f>T159*2</f>
        <v>32768</v>
      </c>
      <c r="T159" s="61">
        <f>U159*2</f>
        <v>16384</v>
      </c>
      <c r="U159" s="61">
        <f>V159*2</f>
        <v>8192</v>
      </c>
      <c r="V159" s="61">
        <f>W159*2</f>
        <v>4096</v>
      </c>
      <c r="W159" s="61">
        <f>X159*2</f>
        <v>2048</v>
      </c>
      <c r="X159" s="61">
        <f>Y159*2</f>
        <v>1024</v>
      </c>
      <c r="Y159" s="61">
        <f>Z159*2</f>
        <v>512</v>
      </c>
      <c r="Z159" s="87">
        <f>AA159*2</f>
        <v>256</v>
      </c>
      <c r="AA159" s="61">
        <f>AB159*2</f>
        <v>128</v>
      </c>
      <c r="AB159" s="61">
        <f>AC159*2</f>
        <v>64</v>
      </c>
      <c r="AC159" s="61">
        <f>AD159*2</f>
        <v>32</v>
      </c>
      <c r="AD159" s="61">
        <f>AE159*2</f>
        <v>16</v>
      </c>
      <c r="AE159" s="61">
        <f>AF159*2</f>
        <v>8</v>
      </c>
      <c r="AF159" s="61">
        <f>AG159*2</f>
        <v>4</v>
      </c>
      <c r="AG159" s="61">
        <f>AH159*2</f>
        <v>2</v>
      </c>
      <c r="AH159" s="76">
        <v>1</v>
      </c>
      <c r="AI159" s="55"/>
    </row>
    <row r="160" spans="2:35">
      <c r="B160" s="99"/>
      <c r="C160" s="77">
        <f>C150+1</f>
        <v>16</v>
      </c>
      <c r="D160" s="62"/>
      <c r="E160" s="62"/>
      <c r="F160" s="62"/>
      <c r="G160" s="62" t="str">
        <f>CONCATENATE(C160,"th")</f>
        <v>16th</v>
      </c>
      <c r="H160" s="62"/>
      <c r="I160" s="62"/>
      <c r="J160" s="88"/>
      <c r="K160" s="92"/>
      <c r="L160" s="58"/>
      <c r="M160" s="58"/>
      <c r="N160" s="58"/>
      <c r="O160" s="58"/>
      <c r="P160" s="58"/>
      <c r="Q160" s="58"/>
      <c r="R160" s="84"/>
      <c r="S160" s="92"/>
      <c r="T160" s="58"/>
      <c r="U160" s="58"/>
      <c r="V160" s="58"/>
      <c r="W160" s="58"/>
      <c r="X160" s="58"/>
      <c r="Y160" s="58"/>
      <c r="Z160" s="84"/>
      <c r="AA160" s="58"/>
      <c r="AB160" s="58"/>
      <c r="AC160" s="58"/>
      <c r="AD160" s="58"/>
      <c r="AE160" s="58"/>
      <c r="AF160" s="58"/>
      <c r="AG160" s="58"/>
      <c r="AH160" s="70"/>
      <c r="AI160" s="55"/>
    </row>
    <row r="161" spans="2:35" ht="15.75" thickBot="1">
      <c r="B161" s="100"/>
      <c r="C161" s="78" t="str">
        <f>IF(OR(VariableLengthSubnetMaskCalc.!$D$2="",VariableLengthSubnetMaskCalc.!$D$12="",VariableLengthSubnetMaskCalc.!$D$22="",VariableLengthSubnetMaskCalc.!$D$32="",VariableLengthSubnetMaskCalc.!$D$42="",VariableLengthSubnetMaskCalc.!$D$52="",VariableLengthSubnetMaskCalc.!$D$62="",VariableLengthSubnetMaskCalc.!$D$72="",VariableLengthSubnetMaskCalc.!$D$82="",VariableLengthSubnetMaskCalc.!$D$92="",VariableLengthSubnetMaskCalc.!$D$102="",VariableLengthSubnetMaskCalc.!$D$112="",VariableLengthSubnetMaskCalc.!$D$122="",VariableLengthSubnetMaskCalc.!$D$132="",VariableLengthSubnetMaskCalc.!$D$142="",VariableLengthSubnetMaskCalc.!$D$152=""),"",VariableLengthSubnetMaskCalc.!D152)</f>
        <v/>
      </c>
      <c r="D161" s="79"/>
      <c r="E161" s="79"/>
      <c r="F161" s="79"/>
      <c r="G161" s="79"/>
      <c r="H161" s="79"/>
      <c r="I161" s="79"/>
      <c r="J161" s="89"/>
      <c r="K161" s="96"/>
      <c r="L161" s="80"/>
      <c r="M161" s="80"/>
      <c r="N161" s="80"/>
      <c r="O161" s="80"/>
      <c r="P161" s="80"/>
      <c r="Q161" s="80"/>
      <c r="R161" s="97"/>
      <c r="S161" s="96"/>
      <c r="T161" s="80"/>
      <c r="U161" s="80"/>
      <c r="V161" s="80"/>
      <c r="W161" s="80"/>
      <c r="X161" s="80"/>
      <c r="Y161" s="80"/>
      <c r="Z161" s="97"/>
      <c r="AA161" s="80"/>
      <c r="AB161" s="80"/>
      <c r="AC161" s="80"/>
      <c r="AD161" s="80"/>
      <c r="AE161" s="80"/>
      <c r="AF161" s="80"/>
      <c r="AG161" s="80"/>
      <c r="AH161" s="81"/>
      <c r="AI161" s="55"/>
    </row>
    <row r="162" spans="2:35" ht="15" customHeight="1">
      <c r="B162" s="98" t="str">
        <f>VariableLengthSubnetMaskCalc.!B162</f>
        <v>17th
Network</v>
      </c>
      <c r="C162" s="64">
        <f>IF(VariableLengthSubnetMaskCalc.!D163&gt;C169,0,1)</f>
        <v>0</v>
      </c>
      <c r="D162" s="65">
        <f>IF(VariableLengthSubnetMaskCalc.!D163&gt;D169,0,1)</f>
        <v>0</v>
      </c>
      <c r="E162" s="65">
        <f>IF(VariableLengthSubnetMaskCalc.!D163&gt;E169,0,1)</f>
        <v>0</v>
      </c>
      <c r="F162" s="65">
        <f>IF(VariableLengthSubnetMaskCalc.!D163&gt;F169,0,1)</f>
        <v>0</v>
      </c>
      <c r="G162" s="65">
        <f>IF(VariableLengthSubnetMaskCalc.!D163&gt;G169,0,1)</f>
        <v>0</v>
      </c>
      <c r="H162" s="65">
        <f>IF(VariableLengthSubnetMaskCalc.!D163&gt;H169,0,1)</f>
        <v>0</v>
      </c>
      <c r="I162" s="65">
        <f>IF(VariableLengthSubnetMaskCalc.!D163&gt;I169,0,1)</f>
        <v>0</v>
      </c>
      <c r="J162" s="82">
        <f>IF(VariableLengthSubnetMaskCalc.!D163&gt;J169,0,1)</f>
        <v>0</v>
      </c>
      <c r="K162" s="90">
        <f>IF(VariableLengthSubnetMaskCalc.!D163&gt;K169,0,1)</f>
        <v>0</v>
      </c>
      <c r="L162" s="65">
        <f>IF(VariableLengthSubnetMaskCalc.!D163&gt;L169,0,1)</f>
        <v>0</v>
      </c>
      <c r="M162" s="65">
        <f>IF(VariableLengthSubnetMaskCalc.!D163&gt;M169,0,1)</f>
        <v>0</v>
      </c>
      <c r="N162" s="65">
        <f>IF(VariableLengthSubnetMaskCalc.!D163&gt;N169,0,1)</f>
        <v>0</v>
      </c>
      <c r="O162" s="65">
        <f>IF(VariableLengthSubnetMaskCalc.!D163&gt;O169,0,1)</f>
        <v>0</v>
      </c>
      <c r="P162" s="65">
        <f>IF(VariableLengthSubnetMaskCalc.!D163&gt;P169,0,1)</f>
        <v>0</v>
      </c>
      <c r="Q162" s="65">
        <f>IF(VariableLengthSubnetMaskCalc.!D163&gt;Q169,0,1)</f>
        <v>0</v>
      </c>
      <c r="R162" s="82">
        <f>IF(VariableLengthSubnetMaskCalc.!D163&gt;R169,0,1)</f>
        <v>0</v>
      </c>
      <c r="S162" s="90">
        <f>IF(VariableLengthSubnetMaskCalc.!D163&gt;S169,0,1)</f>
        <v>0</v>
      </c>
      <c r="T162" s="65">
        <f>IF(VariableLengthSubnetMaskCalc.!D163&gt;T169,0,1)</f>
        <v>0</v>
      </c>
      <c r="U162" s="65">
        <f>IF(VariableLengthSubnetMaskCalc.!D163&gt;U169,0,1)</f>
        <v>0</v>
      </c>
      <c r="V162" s="65">
        <f>IF(VariableLengthSubnetMaskCalc.!D163&gt;V169,0,1)</f>
        <v>0</v>
      </c>
      <c r="W162" s="65">
        <f>IF(VariableLengthSubnetMaskCalc.!D163&gt;W169,0,1)</f>
        <v>0</v>
      </c>
      <c r="X162" s="65">
        <f>IF(VariableLengthSubnetMaskCalc.!D163&gt;X169,0,1)</f>
        <v>0</v>
      </c>
      <c r="Y162" s="65">
        <f>IF(VariableLengthSubnetMaskCalc.!D163&gt;Y169,0,1)</f>
        <v>0</v>
      </c>
      <c r="Z162" s="82">
        <f>IF(VariableLengthSubnetMaskCalc.!D163&gt;Z169,0,1)</f>
        <v>0</v>
      </c>
      <c r="AA162" s="65">
        <f>IF(VariableLengthSubnetMaskCalc.!D163&gt;AA169,0,1)</f>
        <v>0</v>
      </c>
      <c r="AB162" s="65">
        <f>IF(VariableLengthSubnetMaskCalc.!D163&gt;AB169,0,1)</f>
        <v>0</v>
      </c>
      <c r="AC162" s="65">
        <f>IF(VariableLengthSubnetMaskCalc.!D163&gt;AC169,0,1)</f>
        <v>0</v>
      </c>
      <c r="AD162" s="65">
        <f>IF(VariableLengthSubnetMaskCalc.!D163&gt;AD169,0,1)</f>
        <v>0</v>
      </c>
      <c r="AE162" s="65">
        <f>IF(VariableLengthSubnetMaskCalc.!D163&gt;AE169,0,1)</f>
        <v>0</v>
      </c>
      <c r="AF162" s="65">
        <f>IF(VariableLengthSubnetMaskCalc.!D163&gt;AF169,0,1)</f>
        <v>0</v>
      </c>
      <c r="AG162" s="65">
        <f>IF(VariableLengthSubnetMaskCalc.!D163&gt;AG169,0,1)</f>
        <v>0</v>
      </c>
      <c r="AH162" s="66">
        <f>IF(VariableLengthSubnetMaskCalc.!D163&gt;AH169,0,1)</f>
        <v>0</v>
      </c>
      <c r="AI162" s="55"/>
    </row>
    <row r="163" spans="2:35">
      <c r="B163" s="99"/>
      <c r="C163" s="67">
        <f>IF(C162=1,0,1)</f>
        <v>1</v>
      </c>
      <c r="D163" s="57">
        <f>IF(D162=1,0,1)</f>
        <v>1</v>
      </c>
      <c r="E163" s="57">
        <f>IF(E162=1,0,1)</f>
        <v>1</v>
      </c>
      <c r="F163" s="57">
        <f>IF(F162=1,0,1)</f>
        <v>1</v>
      </c>
      <c r="G163" s="57">
        <f>IF(G162=1,0,1)</f>
        <v>1</v>
      </c>
      <c r="H163" s="57">
        <f>IF(H162=1,0,1)</f>
        <v>1</v>
      </c>
      <c r="I163" s="57">
        <f>IF(I162=1,0,1)</f>
        <v>1</v>
      </c>
      <c r="J163" s="83">
        <f>IF(J162=1,0,1)</f>
        <v>1</v>
      </c>
      <c r="K163" s="91">
        <f>IF(K162=1,0,1)</f>
        <v>1</v>
      </c>
      <c r="L163" s="57">
        <f>IF(L162=1,0,1)</f>
        <v>1</v>
      </c>
      <c r="M163" s="57">
        <f>IF(M162=1,0,1)</f>
        <v>1</v>
      </c>
      <c r="N163" s="57">
        <f>IF(N162=1,0,1)</f>
        <v>1</v>
      </c>
      <c r="O163" s="57">
        <f>IF(O162=1,0,1)</f>
        <v>1</v>
      </c>
      <c r="P163" s="57">
        <f>IF(P162=1,0,1)</f>
        <v>1</v>
      </c>
      <c r="Q163" s="57">
        <f>IF(Q162=1,0,1)</f>
        <v>1</v>
      </c>
      <c r="R163" s="83">
        <f>IF(R162=1,0,1)</f>
        <v>1</v>
      </c>
      <c r="S163" s="91">
        <f>IF(S162=1,0,1)</f>
        <v>1</v>
      </c>
      <c r="T163" s="57">
        <f>IF(T162=1,0,1)</f>
        <v>1</v>
      </c>
      <c r="U163" s="57">
        <f>IF(U162=1,0,1)</f>
        <v>1</v>
      </c>
      <c r="V163" s="57">
        <f>IF(V162=1,0,1)</f>
        <v>1</v>
      </c>
      <c r="W163" s="57">
        <f>IF(W162=1,0,1)</f>
        <v>1</v>
      </c>
      <c r="X163" s="57">
        <f>IF(X162=1,0,1)</f>
        <v>1</v>
      </c>
      <c r="Y163" s="57">
        <f>IF(Y162=1,0,1)</f>
        <v>1</v>
      </c>
      <c r="Z163" s="83">
        <f>IF(Z162=1,0,1)</f>
        <v>1</v>
      </c>
      <c r="AA163" s="57">
        <f>IF(AA162=1,0,1)</f>
        <v>1</v>
      </c>
      <c r="AB163" s="57">
        <f>IF(AB162=1,0,1)</f>
        <v>1</v>
      </c>
      <c r="AC163" s="57">
        <f>IF(AC162=1,0,1)</f>
        <v>1</v>
      </c>
      <c r="AD163" s="57">
        <f>IF(AD162=1,0,1)</f>
        <v>1</v>
      </c>
      <c r="AE163" s="57">
        <f>IF(AE162=1,0,1)</f>
        <v>1</v>
      </c>
      <c r="AF163" s="57">
        <f>IF(AF162=1,0,1)</f>
        <v>1</v>
      </c>
      <c r="AG163" s="57">
        <f>IF(AG162=1,0,1)</f>
        <v>1</v>
      </c>
      <c r="AH163" s="68">
        <f>IF(AH162=1,0,1)</f>
        <v>1</v>
      </c>
      <c r="AI163" s="55"/>
    </row>
    <row r="164" spans="2:35">
      <c r="B164" s="99"/>
      <c r="C164" s="69"/>
      <c r="D164" s="58"/>
      <c r="E164" s="58"/>
      <c r="F164" s="58"/>
      <c r="G164" s="58"/>
      <c r="H164" s="58"/>
      <c r="I164" s="58"/>
      <c r="J164" s="84"/>
      <c r="K164" s="92"/>
      <c r="L164" s="58"/>
      <c r="M164" s="58"/>
      <c r="N164" s="58"/>
      <c r="O164" s="58"/>
      <c r="P164" s="58"/>
      <c r="Q164" s="58"/>
      <c r="R164" s="84"/>
      <c r="S164" s="92"/>
      <c r="T164" s="58"/>
      <c r="U164" s="58"/>
      <c r="V164" s="58"/>
      <c r="W164" s="58"/>
      <c r="X164" s="58"/>
      <c r="Y164" s="58"/>
      <c r="Z164" s="84"/>
      <c r="AA164" s="58"/>
      <c r="AB164" s="58"/>
      <c r="AC164" s="58"/>
      <c r="AD164" s="58"/>
      <c r="AE164" s="58"/>
      <c r="AF164" s="58"/>
      <c r="AG164" s="58"/>
      <c r="AH164" s="70"/>
      <c r="AI164" s="55"/>
    </row>
    <row r="165" spans="2:35">
      <c r="B165" s="99"/>
      <c r="C165" s="71" t="str">
        <f>CONCATENATE(C162,D162,E162,F162,G162,H162,I162,J162)</f>
        <v>00000000</v>
      </c>
      <c r="D165" s="59"/>
      <c r="E165" s="59"/>
      <c r="F165" s="59"/>
      <c r="G165" s="59">
        <f>BIN2DEC(C165)</f>
        <v>0</v>
      </c>
      <c r="H165" s="59"/>
      <c r="I165" s="59"/>
      <c r="J165" s="85"/>
      <c r="K165" s="93" t="str">
        <f>CONCATENATE(K162,L162,M162,N162,O162,P162,Q162,R162)</f>
        <v>00000000</v>
      </c>
      <c r="L165" s="59"/>
      <c r="M165" s="59"/>
      <c r="N165" s="59"/>
      <c r="O165" s="59">
        <f>BIN2DEC(K165)</f>
        <v>0</v>
      </c>
      <c r="P165" s="59"/>
      <c r="Q165" s="59"/>
      <c r="R165" s="85"/>
      <c r="S165" s="93" t="str">
        <f>CONCATENATE(S162,T162,U162,V162,W162,X162,Y162,Z162)</f>
        <v>00000000</v>
      </c>
      <c r="T165" s="59"/>
      <c r="U165" s="59"/>
      <c r="V165" s="59"/>
      <c r="W165" s="59">
        <f>BIN2DEC(S165)</f>
        <v>0</v>
      </c>
      <c r="X165" s="59"/>
      <c r="Y165" s="59"/>
      <c r="Z165" s="85"/>
      <c r="AA165" s="59" t="str">
        <f>CONCATENATE(AA162,AB162,AC162,AD162,AE162,AF162,AG162,AH162)</f>
        <v>00000000</v>
      </c>
      <c r="AB165" s="59"/>
      <c r="AC165" s="59"/>
      <c r="AD165" s="59"/>
      <c r="AE165" s="59">
        <f>BIN2DEC(AA165)</f>
        <v>0</v>
      </c>
      <c r="AF165" s="59"/>
      <c r="AG165" s="59"/>
      <c r="AH165" s="72"/>
      <c r="AI165" s="55"/>
    </row>
    <row r="166" spans="2:35">
      <c r="B166" s="99"/>
      <c r="C166" s="71" t="str">
        <f>CONCATENATE(C163,D163,E163,F163,G163,H163,I163,J163,)</f>
        <v>11111111</v>
      </c>
      <c r="D166" s="59"/>
      <c r="E166" s="59"/>
      <c r="F166" s="59"/>
      <c r="G166" s="59">
        <f>BIN2DEC(C166)</f>
        <v>255</v>
      </c>
      <c r="H166" s="59"/>
      <c r="I166" s="59"/>
      <c r="J166" s="85"/>
      <c r="K166" s="93" t="str">
        <f>CONCATENATE(K163,L163,M163,N163,O163,P163,Q163,R163,)</f>
        <v>11111111</v>
      </c>
      <c r="L166" s="59"/>
      <c r="M166" s="59"/>
      <c r="N166" s="59"/>
      <c r="O166" s="59">
        <f>BIN2DEC(K166)</f>
        <v>255</v>
      </c>
      <c r="P166" s="59"/>
      <c r="Q166" s="59"/>
      <c r="R166" s="85"/>
      <c r="S166" s="93" t="str">
        <f>CONCATENATE(S163,T163,U163,V163,W163,X163,Y163,Z163,)</f>
        <v>11111111</v>
      </c>
      <c r="T166" s="59"/>
      <c r="U166" s="59"/>
      <c r="V166" s="59"/>
      <c r="W166" s="59">
        <f>BIN2DEC(S166)</f>
        <v>255</v>
      </c>
      <c r="X166" s="59"/>
      <c r="Y166" s="59"/>
      <c r="Z166" s="85"/>
      <c r="AA166" s="59" t="str">
        <f>CONCATENATE(AA163,AB163,AC163,AD163,AE163,AF163,AG163,AH163,)</f>
        <v>11111111</v>
      </c>
      <c r="AB166" s="59"/>
      <c r="AC166" s="59"/>
      <c r="AD166" s="59"/>
      <c r="AE166" s="59">
        <f>BIN2DEC(AA166)</f>
        <v>255</v>
      </c>
      <c r="AF166" s="59"/>
      <c r="AG166" s="59"/>
      <c r="AH166" s="72"/>
      <c r="AI166" s="55"/>
    </row>
    <row r="167" spans="2:35">
      <c r="B167" s="99"/>
      <c r="C167" s="73" t="b">
        <f>AND(VariableLengthSubnetMaskCalc.!D162+2&lt;C169,VariableLengthSubnetMaskCalc.!D162+2&gt;D169)</f>
        <v>0</v>
      </c>
      <c r="D167" s="60" t="b">
        <f>AND(VariableLengthSubnetMaskCalc.!D162+2&lt;D169,VariableLengthSubnetMaskCalc.!D162+2&gt;E169)</f>
        <v>0</v>
      </c>
      <c r="E167" s="60" t="b">
        <f>AND(VariableLengthSubnetMaskCalc.!D162+2&lt;E169,VariableLengthSubnetMaskCalc.!D162+2&gt;F169)</f>
        <v>0</v>
      </c>
      <c r="F167" s="60" t="b">
        <f>AND(VariableLengthSubnetMaskCalc.!D162+2&lt;F169,VariableLengthSubnetMaskCalc.!D162+2&gt;G169)</f>
        <v>0</v>
      </c>
      <c r="G167" s="60" t="b">
        <f>AND(VariableLengthSubnetMaskCalc.!D162+2&lt;G169,VariableLengthSubnetMaskCalc.!D162+2&gt;H169)</f>
        <v>0</v>
      </c>
      <c r="H167" s="60" t="b">
        <f>AND(VariableLengthSubnetMaskCalc.!D162+2&lt;H169,VariableLengthSubnetMaskCalc.!D162+2&gt;I169)</f>
        <v>0</v>
      </c>
      <c r="I167" s="60" t="b">
        <f>AND(VariableLengthSubnetMaskCalc.!D162+2&lt;I169,VariableLengthSubnetMaskCalc.!D162+2&gt;J169)</f>
        <v>0</v>
      </c>
      <c r="J167" s="86" t="b">
        <f>AND(VariableLengthSubnetMaskCalc.!D162+2&lt;J169,VariableLengthSubnetMaskCalc.!D162+2&gt;K169)</f>
        <v>0</v>
      </c>
      <c r="K167" s="94" t="b">
        <f>AND(VariableLengthSubnetMaskCalc.!D162+2&lt;K169,VariableLengthSubnetMaskCalc.!D162+2&gt;L169)</f>
        <v>0</v>
      </c>
      <c r="L167" s="60" t="b">
        <f>AND(VariableLengthSubnetMaskCalc.!D162+2&lt;L169,VariableLengthSubnetMaskCalc.!D162+2&gt;M169)</f>
        <v>0</v>
      </c>
      <c r="M167" s="60" t="b">
        <f>AND(VariableLengthSubnetMaskCalc.!D162+2&lt;M169,VariableLengthSubnetMaskCalc.!D162+2&gt;N169)</f>
        <v>0</v>
      </c>
      <c r="N167" s="60" t="b">
        <f>AND(VariableLengthSubnetMaskCalc.!D162+2&lt;N169,VariableLengthSubnetMaskCalc.!D162+2&gt;O169)</f>
        <v>0</v>
      </c>
      <c r="O167" s="60" t="b">
        <f>AND(VariableLengthSubnetMaskCalc.!D162+2&lt;O169,VariableLengthSubnetMaskCalc.!D162+2&gt;P169)</f>
        <v>0</v>
      </c>
      <c r="P167" s="60" t="b">
        <f>AND(VariableLengthSubnetMaskCalc.!D162+2&lt;P169,VariableLengthSubnetMaskCalc.!D162+2&gt;Q169)</f>
        <v>0</v>
      </c>
      <c r="Q167" s="60" t="b">
        <f>AND(VariableLengthSubnetMaskCalc.!D162+2&lt;Q169,VariableLengthSubnetMaskCalc.!D162+2&gt;R169)</f>
        <v>0</v>
      </c>
      <c r="R167" s="86" t="b">
        <f>AND(VariableLengthSubnetMaskCalc.!D162+2&lt;R169,VariableLengthSubnetMaskCalc.!D162+2&gt;S169)</f>
        <v>0</v>
      </c>
      <c r="S167" s="94" t="b">
        <f>AND(VariableLengthSubnetMaskCalc.!D162+2&lt;S169,VariableLengthSubnetMaskCalc.!D162+2&gt;T169)</f>
        <v>0</v>
      </c>
      <c r="T167" s="60" t="b">
        <f>AND(VariableLengthSubnetMaskCalc.!D162+2&lt;T169,VariableLengthSubnetMaskCalc.!D162+2&gt;U169)</f>
        <v>0</v>
      </c>
      <c r="U167" s="60" t="b">
        <f>AND(VariableLengthSubnetMaskCalc.!D162+2&lt;U169,VariableLengthSubnetMaskCalc.!D162+2&gt;V169)</f>
        <v>0</v>
      </c>
      <c r="V167" s="60" t="b">
        <f>AND(VariableLengthSubnetMaskCalc.!D162+2&lt;V169,VariableLengthSubnetMaskCalc.!D162+2&gt;W169)</f>
        <v>0</v>
      </c>
      <c r="W167" s="60" t="b">
        <f>AND(VariableLengthSubnetMaskCalc.!D162+2&lt;W169,VariableLengthSubnetMaskCalc.!D162+2&gt;X169)</f>
        <v>0</v>
      </c>
      <c r="X167" s="60" t="b">
        <f>AND(VariableLengthSubnetMaskCalc.!D162+2&lt;X169,VariableLengthSubnetMaskCalc.!D162+2&gt;Y169)</f>
        <v>0</v>
      </c>
      <c r="Y167" s="60" t="b">
        <f>AND(VariableLengthSubnetMaskCalc.!D162+2&lt;Y169,VariableLengthSubnetMaskCalc.!D162+2&gt;Z169)</f>
        <v>0</v>
      </c>
      <c r="Z167" s="86" t="b">
        <f>AND(VariableLengthSubnetMaskCalc.!D162+2&lt;Z169,VariableLengthSubnetMaskCalc.!D162+2&gt;AA169)</f>
        <v>0</v>
      </c>
      <c r="AA167" s="60" t="b">
        <f>AND(VariableLengthSubnetMaskCalc.!D162+2&lt;AA169,VariableLengthSubnetMaskCalc.!D162+2&gt;AB169)</f>
        <v>0</v>
      </c>
      <c r="AB167" s="60" t="b">
        <f>AND(VariableLengthSubnetMaskCalc.!D162+2&lt;AB169,VariableLengthSubnetMaskCalc.!D162+2&gt;AC169)</f>
        <v>0</v>
      </c>
      <c r="AC167" s="60" t="b">
        <f>AND(VariableLengthSubnetMaskCalc.!D162+2&lt;AC169,VariableLengthSubnetMaskCalc.!D162+2&gt;AD169)</f>
        <v>0</v>
      </c>
      <c r="AD167" s="60" t="b">
        <f>AND(VariableLengthSubnetMaskCalc.!D162+2&lt;AD169,VariableLengthSubnetMaskCalc.!D162+2&gt;AE169)</f>
        <v>0</v>
      </c>
      <c r="AE167" s="60" t="b">
        <f>AND(VariableLengthSubnetMaskCalc.!D162+2&lt;AE169,VariableLengthSubnetMaskCalc.!D162+2&gt;AF169)</f>
        <v>0</v>
      </c>
      <c r="AF167" s="60" t="b">
        <f>AND(VariableLengthSubnetMaskCalc.!D162+2&lt;AF169,VariableLengthSubnetMaskCalc.!D162+2&gt;AG169)</f>
        <v>0</v>
      </c>
      <c r="AG167" s="60" t="b">
        <f>AND(VariableLengthSubnetMaskCalc.!D162+2&lt;AG169,VariableLengthSubnetMaskCalc.!D162+2&gt;AH169)</f>
        <v>0</v>
      </c>
      <c r="AH167" s="74" t="b">
        <f>AND(VariableLengthSubnetMaskCalc.!D162+2&lt;AH169,VariableLengthSubnetMaskCalc.!D162+2&gt;0)</f>
        <v>0</v>
      </c>
      <c r="AI167" s="55"/>
    </row>
    <row r="168" spans="2:35">
      <c r="B168" s="99"/>
      <c r="C168" s="75">
        <f>AA169</f>
        <v>128</v>
      </c>
      <c r="D168" s="61">
        <f>AB169</f>
        <v>64</v>
      </c>
      <c r="E168" s="61">
        <f>AC169</f>
        <v>32</v>
      </c>
      <c r="F168" s="61">
        <f>AD169</f>
        <v>16</v>
      </c>
      <c r="G168" s="61">
        <f>AE169</f>
        <v>8</v>
      </c>
      <c r="H168" s="61">
        <f>AF169</f>
        <v>4</v>
      </c>
      <c r="I168" s="61">
        <f>AG169</f>
        <v>2</v>
      </c>
      <c r="J168" s="87">
        <f>AH169</f>
        <v>1</v>
      </c>
      <c r="K168" s="95">
        <f>AA169</f>
        <v>128</v>
      </c>
      <c r="L168" s="61">
        <f>AB169</f>
        <v>64</v>
      </c>
      <c r="M168" s="61">
        <f>AC169</f>
        <v>32</v>
      </c>
      <c r="N168" s="61">
        <f>AD169</f>
        <v>16</v>
      </c>
      <c r="O168" s="61">
        <f>AE169</f>
        <v>8</v>
      </c>
      <c r="P168" s="61">
        <f>AF169</f>
        <v>4</v>
      </c>
      <c r="Q168" s="61">
        <f>AG169</f>
        <v>2</v>
      </c>
      <c r="R168" s="87">
        <f>AH169</f>
        <v>1</v>
      </c>
      <c r="S168" s="95">
        <f>AA169</f>
        <v>128</v>
      </c>
      <c r="T168" s="61">
        <f>AB169</f>
        <v>64</v>
      </c>
      <c r="U168" s="61">
        <f>AC169</f>
        <v>32</v>
      </c>
      <c r="V168" s="61">
        <f>AD169</f>
        <v>16</v>
      </c>
      <c r="W168" s="61">
        <f>AE169</f>
        <v>8</v>
      </c>
      <c r="X168" s="61">
        <f>AF169</f>
        <v>4</v>
      </c>
      <c r="Y168" s="61">
        <f>AG169</f>
        <v>2</v>
      </c>
      <c r="Z168" s="87">
        <f>AH169</f>
        <v>1</v>
      </c>
      <c r="AA168" s="61">
        <f>AA169</f>
        <v>128</v>
      </c>
      <c r="AB168" s="61">
        <f>AB169</f>
        <v>64</v>
      </c>
      <c r="AC168" s="61">
        <f>AC169</f>
        <v>32</v>
      </c>
      <c r="AD168" s="61">
        <f>AD169</f>
        <v>16</v>
      </c>
      <c r="AE168" s="61">
        <f>AE169</f>
        <v>8</v>
      </c>
      <c r="AF168" s="61">
        <f>AF169</f>
        <v>4</v>
      </c>
      <c r="AG168" s="61">
        <f>AG169</f>
        <v>2</v>
      </c>
      <c r="AH168" s="76">
        <f>AH169</f>
        <v>1</v>
      </c>
      <c r="AI168" s="55"/>
    </row>
    <row r="169" spans="2:35">
      <c r="B169" s="99"/>
      <c r="C169" s="75">
        <f>D169*2</f>
        <v>2147483648</v>
      </c>
      <c r="D169" s="61">
        <f>E169*2</f>
        <v>1073741824</v>
      </c>
      <c r="E169" s="61">
        <f>F169*2</f>
        <v>536870912</v>
      </c>
      <c r="F169" s="61">
        <f>G169*2</f>
        <v>268435456</v>
      </c>
      <c r="G169" s="61">
        <f>H169*2</f>
        <v>134217728</v>
      </c>
      <c r="H169" s="61">
        <f>I169*2</f>
        <v>67108864</v>
      </c>
      <c r="I169" s="61">
        <f>J169*2</f>
        <v>33554432</v>
      </c>
      <c r="J169" s="87">
        <f>K169*2</f>
        <v>16777216</v>
      </c>
      <c r="K169" s="95">
        <f>L169*2</f>
        <v>8388608</v>
      </c>
      <c r="L169" s="61">
        <f>M169*2</f>
        <v>4194304</v>
      </c>
      <c r="M169" s="61">
        <f>N169*2</f>
        <v>2097152</v>
      </c>
      <c r="N169" s="61">
        <f>O169*2</f>
        <v>1048576</v>
      </c>
      <c r="O169" s="61">
        <f>P169*2</f>
        <v>524288</v>
      </c>
      <c r="P169" s="61">
        <f>Q169*2</f>
        <v>262144</v>
      </c>
      <c r="Q169" s="61">
        <f>R169*2</f>
        <v>131072</v>
      </c>
      <c r="R169" s="87">
        <f>S169*2</f>
        <v>65536</v>
      </c>
      <c r="S169" s="95">
        <f>T169*2</f>
        <v>32768</v>
      </c>
      <c r="T169" s="61">
        <f>U169*2</f>
        <v>16384</v>
      </c>
      <c r="U169" s="61">
        <f>V169*2</f>
        <v>8192</v>
      </c>
      <c r="V169" s="61">
        <f>W169*2</f>
        <v>4096</v>
      </c>
      <c r="W169" s="61">
        <f>X169*2</f>
        <v>2048</v>
      </c>
      <c r="X169" s="61">
        <f>Y169*2</f>
        <v>1024</v>
      </c>
      <c r="Y169" s="61">
        <f>Z169*2</f>
        <v>512</v>
      </c>
      <c r="Z169" s="87">
        <f>AA169*2</f>
        <v>256</v>
      </c>
      <c r="AA169" s="61">
        <f>AB169*2</f>
        <v>128</v>
      </c>
      <c r="AB169" s="61">
        <f>AC169*2</f>
        <v>64</v>
      </c>
      <c r="AC169" s="61">
        <f>AD169*2</f>
        <v>32</v>
      </c>
      <c r="AD169" s="61">
        <f>AE169*2</f>
        <v>16</v>
      </c>
      <c r="AE169" s="61">
        <f>AF169*2</f>
        <v>8</v>
      </c>
      <c r="AF169" s="61">
        <f>AG169*2</f>
        <v>4</v>
      </c>
      <c r="AG169" s="61">
        <f>AH169*2</f>
        <v>2</v>
      </c>
      <c r="AH169" s="76">
        <v>1</v>
      </c>
      <c r="AI169" s="55"/>
    </row>
    <row r="170" spans="2:35">
      <c r="B170" s="99"/>
      <c r="C170" s="77">
        <f>C160+1</f>
        <v>17</v>
      </c>
      <c r="D170" s="62"/>
      <c r="E170" s="62"/>
      <c r="F170" s="62"/>
      <c r="G170" s="62" t="str">
        <f>CONCATENATE(C170,"th")</f>
        <v>17th</v>
      </c>
      <c r="H170" s="62"/>
      <c r="I170" s="62"/>
      <c r="J170" s="88"/>
      <c r="K170" s="92"/>
      <c r="L170" s="58"/>
      <c r="M170" s="58"/>
      <c r="N170" s="58"/>
      <c r="O170" s="58"/>
      <c r="P170" s="58"/>
      <c r="Q170" s="58"/>
      <c r="R170" s="84"/>
      <c r="S170" s="92"/>
      <c r="T170" s="58"/>
      <c r="U170" s="58"/>
      <c r="V170" s="58"/>
      <c r="W170" s="58"/>
      <c r="X170" s="58"/>
      <c r="Y170" s="58"/>
      <c r="Z170" s="84"/>
      <c r="AA170" s="58"/>
      <c r="AB170" s="58"/>
      <c r="AC170" s="58"/>
      <c r="AD170" s="58"/>
      <c r="AE170" s="58"/>
      <c r="AF170" s="58"/>
      <c r="AG170" s="58"/>
      <c r="AH170" s="70"/>
      <c r="AI170" s="55"/>
    </row>
    <row r="171" spans="2:35" ht="15.75" thickBot="1">
      <c r="B171" s="100"/>
      <c r="C171" s="78" t="str">
        <f>IF(OR(VariableLengthSubnetMaskCalc.!$D$2="",VariableLengthSubnetMaskCalc.!$D$12="",VariableLengthSubnetMaskCalc.!$D$22="",VariableLengthSubnetMaskCalc.!$D$32="",VariableLengthSubnetMaskCalc.!$D$42="",VariableLengthSubnetMaskCalc.!$D$52="",VariableLengthSubnetMaskCalc.!$D$62="",VariableLengthSubnetMaskCalc.!$D$72="",VariableLengthSubnetMaskCalc.!$D$82="",VariableLengthSubnetMaskCalc.!$D$92="",VariableLengthSubnetMaskCalc.!$D$102="",VariableLengthSubnetMaskCalc.!$D$112="",VariableLengthSubnetMaskCalc.!$D$122="",VariableLengthSubnetMaskCalc.!$D$132="",VariableLengthSubnetMaskCalc.!$D$142="",VariableLengthSubnetMaskCalc.!$D$152="",VariableLengthSubnetMaskCalc.!$D$162=""),"",VariableLengthSubnetMaskCalc.!D162)</f>
        <v/>
      </c>
      <c r="D171" s="79"/>
      <c r="E171" s="79"/>
      <c r="F171" s="79"/>
      <c r="G171" s="79"/>
      <c r="H171" s="79"/>
      <c r="I171" s="79"/>
      <c r="J171" s="89"/>
      <c r="K171" s="96"/>
      <c r="L171" s="80"/>
      <c r="M171" s="80"/>
      <c r="N171" s="80"/>
      <c r="O171" s="80"/>
      <c r="P171" s="80"/>
      <c r="Q171" s="80"/>
      <c r="R171" s="97"/>
      <c r="S171" s="96"/>
      <c r="T171" s="80"/>
      <c r="U171" s="80"/>
      <c r="V171" s="80"/>
      <c r="W171" s="80"/>
      <c r="X171" s="80"/>
      <c r="Y171" s="80"/>
      <c r="Z171" s="97"/>
      <c r="AA171" s="80"/>
      <c r="AB171" s="80"/>
      <c r="AC171" s="80"/>
      <c r="AD171" s="80"/>
      <c r="AE171" s="80"/>
      <c r="AF171" s="80"/>
      <c r="AG171" s="80"/>
      <c r="AH171" s="81"/>
      <c r="AI171" s="55"/>
    </row>
    <row r="172" spans="2:35" ht="15" customHeight="1">
      <c r="B172" s="98" t="str">
        <f>VariableLengthSubnetMaskCalc.!B172</f>
        <v>18th
Network</v>
      </c>
      <c r="C172" s="64">
        <f>IF(VariableLengthSubnetMaskCalc.!D173&gt;C179,0,1)</f>
        <v>0</v>
      </c>
      <c r="D172" s="65">
        <f>IF(VariableLengthSubnetMaskCalc.!D173&gt;D179,0,1)</f>
        <v>0</v>
      </c>
      <c r="E172" s="65">
        <f>IF(VariableLengthSubnetMaskCalc.!D173&gt;E179,0,1)</f>
        <v>0</v>
      </c>
      <c r="F172" s="65">
        <f>IF(VariableLengthSubnetMaskCalc.!D173&gt;F179,0,1)</f>
        <v>0</v>
      </c>
      <c r="G172" s="65">
        <f>IF(VariableLengthSubnetMaskCalc.!D173&gt;G179,0,1)</f>
        <v>0</v>
      </c>
      <c r="H172" s="65">
        <f>IF(VariableLengthSubnetMaskCalc.!D173&gt;H179,0,1)</f>
        <v>0</v>
      </c>
      <c r="I172" s="65">
        <f>IF(VariableLengthSubnetMaskCalc.!D173&gt;I179,0,1)</f>
        <v>0</v>
      </c>
      <c r="J172" s="82">
        <f>IF(VariableLengthSubnetMaskCalc.!D173&gt;J179,0,1)</f>
        <v>0</v>
      </c>
      <c r="K172" s="90">
        <f>IF(VariableLengthSubnetMaskCalc.!D173&gt;K179,0,1)</f>
        <v>0</v>
      </c>
      <c r="L172" s="65">
        <f>IF(VariableLengthSubnetMaskCalc.!D173&gt;L179,0,1)</f>
        <v>0</v>
      </c>
      <c r="M172" s="65">
        <f>IF(VariableLengthSubnetMaskCalc.!D173&gt;M179,0,1)</f>
        <v>0</v>
      </c>
      <c r="N172" s="65">
        <f>IF(VariableLengthSubnetMaskCalc.!D173&gt;N179,0,1)</f>
        <v>0</v>
      </c>
      <c r="O172" s="65">
        <f>IF(VariableLengthSubnetMaskCalc.!D173&gt;O179,0,1)</f>
        <v>0</v>
      </c>
      <c r="P172" s="65">
        <f>IF(VariableLengthSubnetMaskCalc.!D173&gt;P179,0,1)</f>
        <v>0</v>
      </c>
      <c r="Q172" s="65">
        <f>IF(VariableLengthSubnetMaskCalc.!D173&gt;Q179,0,1)</f>
        <v>0</v>
      </c>
      <c r="R172" s="82">
        <f>IF(VariableLengthSubnetMaskCalc.!D173&gt;R179,0,1)</f>
        <v>0</v>
      </c>
      <c r="S172" s="90">
        <f>IF(VariableLengthSubnetMaskCalc.!D173&gt;S179,0,1)</f>
        <v>0</v>
      </c>
      <c r="T172" s="65">
        <f>IF(VariableLengthSubnetMaskCalc.!D173&gt;T179,0,1)</f>
        <v>0</v>
      </c>
      <c r="U172" s="65">
        <f>IF(VariableLengthSubnetMaskCalc.!D173&gt;U179,0,1)</f>
        <v>0</v>
      </c>
      <c r="V172" s="65">
        <f>IF(VariableLengthSubnetMaskCalc.!D173&gt;V179,0,1)</f>
        <v>0</v>
      </c>
      <c r="W172" s="65">
        <f>IF(VariableLengthSubnetMaskCalc.!D173&gt;W179,0,1)</f>
        <v>0</v>
      </c>
      <c r="X172" s="65">
        <f>IF(VariableLengthSubnetMaskCalc.!D173&gt;X179,0,1)</f>
        <v>0</v>
      </c>
      <c r="Y172" s="65">
        <f>IF(VariableLengthSubnetMaskCalc.!D173&gt;Y179,0,1)</f>
        <v>0</v>
      </c>
      <c r="Z172" s="82">
        <f>IF(VariableLengthSubnetMaskCalc.!D173&gt;Z179,0,1)</f>
        <v>0</v>
      </c>
      <c r="AA172" s="65">
        <f>IF(VariableLengthSubnetMaskCalc.!D173&gt;AA179,0,1)</f>
        <v>0</v>
      </c>
      <c r="AB172" s="65">
        <f>IF(VariableLengthSubnetMaskCalc.!D173&gt;AB179,0,1)</f>
        <v>0</v>
      </c>
      <c r="AC172" s="65">
        <f>IF(VariableLengthSubnetMaskCalc.!D173&gt;AC179,0,1)</f>
        <v>0</v>
      </c>
      <c r="AD172" s="65">
        <f>IF(VariableLengthSubnetMaskCalc.!D173&gt;AD179,0,1)</f>
        <v>0</v>
      </c>
      <c r="AE172" s="65">
        <f>IF(VariableLengthSubnetMaskCalc.!D173&gt;AE179,0,1)</f>
        <v>0</v>
      </c>
      <c r="AF172" s="65">
        <f>IF(VariableLengthSubnetMaskCalc.!D173&gt;AF179,0,1)</f>
        <v>0</v>
      </c>
      <c r="AG172" s="65">
        <f>IF(VariableLengthSubnetMaskCalc.!D173&gt;AG179,0,1)</f>
        <v>0</v>
      </c>
      <c r="AH172" s="66">
        <f>IF(VariableLengthSubnetMaskCalc.!D173&gt;AH179,0,1)</f>
        <v>0</v>
      </c>
      <c r="AI172" s="55"/>
    </row>
    <row r="173" spans="2:35">
      <c r="B173" s="99"/>
      <c r="C173" s="67">
        <f>IF(C172=1,0,1)</f>
        <v>1</v>
      </c>
      <c r="D173" s="57">
        <f>IF(D172=1,0,1)</f>
        <v>1</v>
      </c>
      <c r="E173" s="57">
        <f>IF(E172=1,0,1)</f>
        <v>1</v>
      </c>
      <c r="F173" s="57">
        <f>IF(F172=1,0,1)</f>
        <v>1</v>
      </c>
      <c r="G173" s="57">
        <f>IF(G172=1,0,1)</f>
        <v>1</v>
      </c>
      <c r="H173" s="57">
        <f>IF(H172=1,0,1)</f>
        <v>1</v>
      </c>
      <c r="I173" s="57">
        <f>IF(I172=1,0,1)</f>
        <v>1</v>
      </c>
      <c r="J173" s="83">
        <f>IF(J172=1,0,1)</f>
        <v>1</v>
      </c>
      <c r="K173" s="91">
        <f>IF(K172=1,0,1)</f>
        <v>1</v>
      </c>
      <c r="L173" s="57">
        <f>IF(L172=1,0,1)</f>
        <v>1</v>
      </c>
      <c r="M173" s="57">
        <f>IF(M172=1,0,1)</f>
        <v>1</v>
      </c>
      <c r="N173" s="57">
        <f>IF(N172=1,0,1)</f>
        <v>1</v>
      </c>
      <c r="O173" s="57">
        <f>IF(O172=1,0,1)</f>
        <v>1</v>
      </c>
      <c r="P173" s="57">
        <f>IF(P172=1,0,1)</f>
        <v>1</v>
      </c>
      <c r="Q173" s="57">
        <f>IF(Q172=1,0,1)</f>
        <v>1</v>
      </c>
      <c r="R173" s="83">
        <f>IF(R172=1,0,1)</f>
        <v>1</v>
      </c>
      <c r="S173" s="91">
        <f>IF(S172=1,0,1)</f>
        <v>1</v>
      </c>
      <c r="T173" s="57">
        <f>IF(T172=1,0,1)</f>
        <v>1</v>
      </c>
      <c r="U173" s="57">
        <f>IF(U172=1,0,1)</f>
        <v>1</v>
      </c>
      <c r="V173" s="57">
        <f>IF(V172=1,0,1)</f>
        <v>1</v>
      </c>
      <c r="W173" s="57">
        <f>IF(W172=1,0,1)</f>
        <v>1</v>
      </c>
      <c r="X173" s="57">
        <f>IF(X172=1,0,1)</f>
        <v>1</v>
      </c>
      <c r="Y173" s="57">
        <f>IF(Y172=1,0,1)</f>
        <v>1</v>
      </c>
      <c r="Z173" s="83">
        <f>IF(Z172=1,0,1)</f>
        <v>1</v>
      </c>
      <c r="AA173" s="57">
        <f>IF(AA172=1,0,1)</f>
        <v>1</v>
      </c>
      <c r="AB173" s="57">
        <f>IF(AB172=1,0,1)</f>
        <v>1</v>
      </c>
      <c r="AC173" s="57">
        <f>IF(AC172=1,0,1)</f>
        <v>1</v>
      </c>
      <c r="AD173" s="57">
        <f>IF(AD172=1,0,1)</f>
        <v>1</v>
      </c>
      <c r="AE173" s="57">
        <f>IF(AE172=1,0,1)</f>
        <v>1</v>
      </c>
      <c r="AF173" s="57">
        <f>IF(AF172=1,0,1)</f>
        <v>1</v>
      </c>
      <c r="AG173" s="57">
        <f>IF(AG172=1,0,1)</f>
        <v>1</v>
      </c>
      <c r="AH173" s="68">
        <f>IF(AH172=1,0,1)</f>
        <v>1</v>
      </c>
      <c r="AI173" s="55"/>
    </row>
    <row r="174" spans="2:35">
      <c r="B174" s="99"/>
      <c r="C174" s="69"/>
      <c r="D174" s="58"/>
      <c r="E174" s="58"/>
      <c r="F174" s="58"/>
      <c r="G174" s="58"/>
      <c r="H174" s="58"/>
      <c r="I174" s="58"/>
      <c r="J174" s="84"/>
      <c r="K174" s="92"/>
      <c r="L174" s="58"/>
      <c r="M174" s="58"/>
      <c r="N174" s="58"/>
      <c r="O174" s="58"/>
      <c r="P174" s="58"/>
      <c r="Q174" s="58"/>
      <c r="R174" s="84"/>
      <c r="S174" s="92"/>
      <c r="T174" s="58"/>
      <c r="U174" s="58"/>
      <c r="V174" s="58"/>
      <c r="W174" s="58"/>
      <c r="X174" s="58"/>
      <c r="Y174" s="58"/>
      <c r="Z174" s="84"/>
      <c r="AA174" s="58"/>
      <c r="AB174" s="58"/>
      <c r="AC174" s="58"/>
      <c r="AD174" s="58"/>
      <c r="AE174" s="58"/>
      <c r="AF174" s="58"/>
      <c r="AG174" s="58"/>
      <c r="AH174" s="70"/>
      <c r="AI174" s="55"/>
    </row>
    <row r="175" spans="2:35">
      <c r="B175" s="99"/>
      <c r="C175" s="71" t="str">
        <f>CONCATENATE(C172,D172,E172,F172,G172,H172,I172,J172)</f>
        <v>00000000</v>
      </c>
      <c r="D175" s="59"/>
      <c r="E175" s="59"/>
      <c r="F175" s="59"/>
      <c r="G175" s="59">
        <f>BIN2DEC(C175)</f>
        <v>0</v>
      </c>
      <c r="H175" s="59"/>
      <c r="I175" s="59"/>
      <c r="J175" s="85"/>
      <c r="K175" s="93" t="str">
        <f>CONCATENATE(K172,L172,M172,N172,O172,P172,Q172,R172)</f>
        <v>00000000</v>
      </c>
      <c r="L175" s="59"/>
      <c r="M175" s="59"/>
      <c r="N175" s="59"/>
      <c r="O175" s="59">
        <f>BIN2DEC(K175)</f>
        <v>0</v>
      </c>
      <c r="P175" s="59"/>
      <c r="Q175" s="59"/>
      <c r="R175" s="85"/>
      <c r="S175" s="93" t="str">
        <f>CONCATENATE(S172,T172,U172,V172,W172,X172,Y172,Z172)</f>
        <v>00000000</v>
      </c>
      <c r="T175" s="59"/>
      <c r="U175" s="59"/>
      <c r="V175" s="59"/>
      <c r="W175" s="59">
        <f>BIN2DEC(S175)</f>
        <v>0</v>
      </c>
      <c r="X175" s="59"/>
      <c r="Y175" s="59"/>
      <c r="Z175" s="85"/>
      <c r="AA175" s="59" t="str">
        <f>CONCATENATE(AA172,AB172,AC172,AD172,AE172,AF172,AG172,AH172)</f>
        <v>00000000</v>
      </c>
      <c r="AB175" s="59"/>
      <c r="AC175" s="59"/>
      <c r="AD175" s="59"/>
      <c r="AE175" s="59">
        <f>BIN2DEC(AA175)</f>
        <v>0</v>
      </c>
      <c r="AF175" s="59"/>
      <c r="AG175" s="59"/>
      <c r="AH175" s="72"/>
      <c r="AI175" s="55"/>
    </row>
    <row r="176" spans="2:35">
      <c r="B176" s="99"/>
      <c r="C176" s="71" t="str">
        <f>CONCATENATE(C173,D173,E173,F173,G173,H173,I173,J173,)</f>
        <v>11111111</v>
      </c>
      <c r="D176" s="59"/>
      <c r="E176" s="59"/>
      <c r="F176" s="59"/>
      <c r="G176" s="59">
        <f>BIN2DEC(C176)</f>
        <v>255</v>
      </c>
      <c r="H176" s="59"/>
      <c r="I176" s="59"/>
      <c r="J176" s="85"/>
      <c r="K176" s="93" t="str">
        <f>CONCATENATE(K173,L173,M173,N173,O173,P173,Q173,R173,)</f>
        <v>11111111</v>
      </c>
      <c r="L176" s="59"/>
      <c r="M176" s="59"/>
      <c r="N176" s="59"/>
      <c r="O176" s="59">
        <f>BIN2DEC(K176)</f>
        <v>255</v>
      </c>
      <c r="P176" s="59"/>
      <c r="Q176" s="59"/>
      <c r="R176" s="85"/>
      <c r="S176" s="93" t="str">
        <f>CONCATENATE(S173,T173,U173,V173,W173,X173,Y173,Z173,)</f>
        <v>11111111</v>
      </c>
      <c r="T176" s="59"/>
      <c r="U176" s="59"/>
      <c r="V176" s="59"/>
      <c r="W176" s="59">
        <f>BIN2DEC(S176)</f>
        <v>255</v>
      </c>
      <c r="X176" s="59"/>
      <c r="Y176" s="59"/>
      <c r="Z176" s="85"/>
      <c r="AA176" s="59" t="str">
        <f>CONCATENATE(AA173,AB173,AC173,AD173,AE173,AF173,AG173,AH173,)</f>
        <v>11111111</v>
      </c>
      <c r="AB176" s="59"/>
      <c r="AC176" s="59"/>
      <c r="AD176" s="59"/>
      <c r="AE176" s="59">
        <f>BIN2DEC(AA176)</f>
        <v>255</v>
      </c>
      <c r="AF176" s="59"/>
      <c r="AG176" s="59"/>
      <c r="AH176" s="72"/>
      <c r="AI176" s="55"/>
    </row>
    <row r="177" spans="2:35">
      <c r="B177" s="99"/>
      <c r="C177" s="73" t="b">
        <f>AND(VariableLengthSubnetMaskCalc.!D172+2&lt;C179,VariableLengthSubnetMaskCalc.!D172+2&gt;D179)</f>
        <v>0</v>
      </c>
      <c r="D177" s="60" t="b">
        <f>AND(VariableLengthSubnetMaskCalc.!D172+2&lt;D179,VariableLengthSubnetMaskCalc.!D172+2&gt;E179)</f>
        <v>0</v>
      </c>
      <c r="E177" s="60" t="b">
        <f>AND(VariableLengthSubnetMaskCalc.!D172+2&lt;E179,VariableLengthSubnetMaskCalc.!D172+2&gt;F179)</f>
        <v>0</v>
      </c>
      <c r="F177" s="60" t="b">
        <f>AND(VariableLengthSubnetMaskCalc.!D172+2&lt;F179,VariableLengthSubnetMaskCalc.!D172+2&gt;G179)</f>
        <v>0</v>
      </c>
      <c r="G177" s="60" t="b">
        <f>AND(VariableLengthSubnetMaskCalc.!D172+2&lt;G179,VariableLengthSubnetMaskCalc.!D172+2&gt;H179)</f>
        <v>0</v>
      </c>
      <c r="H177" s="60" t="b">
        <f>AND(VariableLengthSubnetMaskCalc.!D172+2&lt;H179,VariableLengthSubnetMaskCalc.!D172+2&gt;I179)</f>
        <v>0</v>
      </c>
      <c r="I177" s="60" t="b">
        <f>AND(VariableLengthSubnetMaskCalc.!D172+2&lt;I179,VariableLengthSubnetMaskCalc.!D172+2&gt;J179)</f>
        <v>0</v>
      </c>
      <c r="J177" s="86" t="b">
        <f>AND(VariableLengthSubnetMaskCalc.!D172+2&lt;J179,VariableLengthSubnetMaskCalc.!D172+2&gt;K179)</f>
        <v>0</v>
      </c>
      <c r="K177" s="94" t="b">
        <f>AND(VariableLengthSubnetMaskCalc.!D172+2&lt;K179,VariableLengthSubnetMaskCalc.!D172+2&gt;L179)</f>
        <v>0</v>
      </c>
      <c r="L177" s="60" t="b">
        <f>AND(VariableLengthSubnetMaskCalc.!D172+2&lt;L179,VariableLengthSubnetMaskCalc.!D172+2&gt;M179)</f>
        <v>0</v>
      </c>
      <c r="M177" s="60" t="b">
        <f>AND(VariableLengthSubnetMaskCalc.!D172+2&lt;M179,VariableLengthSubnetMaskCalc.!D172+2&gt;N179)</f>
        <v>0</v>
      </c>
      <c r="N177" s="60" t="b">
        <f>AND(VariableLengthSubnetMaskCalc.!D172+2&lt;N179,VariableLengthSubnetMaskCalc.!D172+2&gt;O179)</f>
        <v>0</v>
      </c>
      <c r="O177" s="60" t="b">
        <f>AND(VariableLengthSubnetMaskCalc.!D172+2&lt;O179,VariableLengthSubnetMaskCalc.!D172+2&gt;P179)</f>
        <v>0</v>
      </c>
      <c r="P177" s="60" t="b">
        <f>AND(VariableLengthSubnetMaskCalc.!D172+2&lt;P179,VariableLengthSubnetMaskCalc.!D172+2&gt;Q179)</f>
        <v>0</v>
      </c>
      <c r="Q177" s="60" t="b">
        <f>AND(VariableLengthSubnetMaskCalc.!D172+2&lt;Q179,VariableLengthSubnetMaskCalc.!D172+2&gt;R179)</f>
        <v>0</v>
      </c>
      <c r="R177" s="86" t="b">
        <f>AND(VariableLengthSubnetMaskCalc.!D172+2&lt;R179,VariableLengthSubnetMaskCalc.!D172+2&gt;S179)</f>
        <v>0</v>
      </c>
      <c r="S177" s="94" t="b">
        <f>AND(VariableLengthSubnetMaskCalc.!D172+2&lt;S179,VariableLengthSubnetMaskCalc.!D172+2&gt;T179)</f>
        <v>0</v>
      </c>
      <c r="T177" s="60" t="b">
        <f>AND(VariableLengthSubnetMaskCalc.!D172+2&lt;T179,VariableLengthSubnetMaskCalc.!D172+2&gt;U179)</f>
        <v>0</v>
      </c>
      <c r="U177" s="60" t="b">
        <f>AND(VariableLengthSubnetMaskCalc.!D172+2&lt;U179,VariableLengthSubnetMaskCalc.!D172+2&gt;V179)</f>
        <v>0</v>
      </c>
      <c r="V177" s="60" t="b">
        <f>AND(VariableLengthSubnetMaskCalc.!D172+2&lt;V179,VariableLengthSubnetMaskCalc.!D172+2&gt;W179)</f>
        <v>0</v>
      </c>
      <c r="W177" s="60" t="b">
        <f>AND(VariableLengthSubnetMaskCalc.!D172+2&lt;W179,VariableLengthSubnetMaskCalc.!D172+2&gt;X179)</f>
        <v>0</v>
      </c>
      <c r="X177" s="60" t="b">
        <f>AND(VariableLengthSubnetMaskCalc.!D172+2&lt;X179,VariableLengthSubnetMaskCalc.!D172+2&gt;Y179)</f>
        <v>0</v>
      </c>
      <c r="Y177" s="60" t="b">
        <f>AND(VariableLengthSubnetMaskCalc.!D172+2&lt;Y179,VariableLengthSubnetMaskCalc.!D172+2&gt;Z179)</f>
        <v>0</v>
      </c>
      <c r="Z177" s="86" t="b">
        <f>AND(VariableLengthSubnetMaskCalc.!D172+2&lt;Z179,VariableLengthSubnetMaskCalc.!D172+2&gt;AA179)</f>
        <v>0</v>
      </c>
      <c r="AA177" s="60" t="b">
        <f>AND(VariableLengthSubnetMaskCalc.!D172+2&lt;AA179,VariableLengthSubnetMaskCalc.!D172+2&gt;AB179)</f>
        <v>0</v>
      </c>
      <c r="AB177" s="60" t="b">
        <f>AND(VariableLengthSubnetMaskCalc.!D172+2&lt;AB179,VariableLengthSubnetMaskCalc.!D172+2&gt;AC179)</f>
        <v>0</v>
      </c>
      <c r="AC177" s="60" t="b">
        <f>AND(VariableLengthSubnetMaskCalc.!D172+2&lt;AC179,VariableLengthSubnetMaskCalc.!D172+2&gt;AD179)</f>
        <v>0</v>
      </c>
      <c r="AD177" s="60" t="b">
        <f>AND(VariableLengthSubnetMaskCalc.!D172+2&lt;AD179,VariableLengthSubnetMaskCalc.!D172+2&gt;AE179)</f>
        <v>0</v>
      </c>
      <c r="AE177" s="60" t="b">
        <f>AND(VariableLengthSubnetMaskCalc.!D172+2&lt;AE179,VariableLengthSubnetMaskCalc.!D172+2&gt;AF179)</f>
        <v>0</v>
      </c>
      <c r="AF177" s="60" t="b">
        <f>AND(VariableLengthSubnetMaskCalc.!D172+2&lt;AF179,VariableLengthSubnetMaskCalc.!D172+2&gt;AG179)</f>
        <v>0</v>
      </c>
      <c r="AG177" s="60" t="b">
        <f>AND(VariableLengthSubnetMaskCalc.!D172+2&lt;AG179,VariableLengthSubnetMaskCalc.!D172+2&gt;AH179)</f>
        <v>0</v>
      </c>
      <c r="AH177" s="74" t="b">
        <f>AND(VariableLengthSubnetMaskCalc.!D172+2&lt;AH179,VariableLengthSubnetMaskCalc.!D172+2&gt;0)</f>
        <v>0</v>
      </c>
      <c r="AI177" s="55"/>
    </row>
    <row r="178" spans="2:35">
      <c r="B178" s="99"/>
      <c r="C178" s="75">
        <f>AA179</f>
        <v>128</v>
      </c>
      <c r="D178" s="61">
        <f>AB179</f>
        <v>64</v>
      </c>
      <c r="E178" s="61">
        <f>AC179</f>
        <v>32</v>
      </c>
      <c r="F178" s="61">
        <f>AD179</f>
        <v>16</v>
      </c>
      <c r="G178" s="61">
        <f>AE179</f>
        <v>8</v>
      </c>
      <c r="H178" s="61">
        <f>AF179</f>
        <v>4</v>
      </c>
      <c r="I178" s="61">
        <f>AG179</f>
        <v>2</v>
      </c>
      <c r="J178" s="87">
        <f>AH179</f>
        <v>1</v>
      </c>
      <c r="K178" s="95">
        <f>AA179</f>
        <v>128</v>
      </c>
      <c r="L178" s="61">
        <f>AB179</f>
        <v>64</v>
      </c>
      <c r="M178" s="61">
        <f>AC179</f>
        <v>32</v>
      </c>
      <c r="N178" s="61">
        <f>AD179</f>
        <v>16</v>
      </c>
      <c r="O178" s="61">
        <f>AE179</f>
        <v>8</v>
      </c>
      <c r="P178" s="61">
        <f>AF179</f>
        <v>4</v>
      </c>
      <c r="Q178" s="61">
        <f>AG179</f>
        <v>2</v>
      </c>
      <c r="R178" s="87">
        <f>AH179</f>
        <v>1</v>
      </c>
      <c r="S178" s="95">
        <f>AA179</f>
        <v>128</v>
      </c>
      <c r="T178" s="61">
        <f>AB179</f>
        <v>64</v>
      </c>
      <c r="U178" s="61">
        <f>AC179</f>
        <v>32</v>
      </c>
      <c r="V178" s="61">
        <f>AD179</f>
        <v>16</v>
      </c>
      <c r="W178" s="61">
        <f>AE179</f>
        <v>8</v>
      </c>
      <c r="X178" s="61">
        <f>AF179</f>
        <v>4</v>
      </c>
      <c r="Y178" s="61">
        <f>AG179</f>
        <v>2</v>
      </c>
      <c r="Z178" s="87">
        <f>AH179</f>
        <v>1</v>
      </c>
      <c r="AA178" s="61">
        <f>AA179</f>
        <v>128</v>
      </c>
      <c r="AB178" s="61">
        <f>AB179</f>
        <v>64</v>
      </c>
      <c r="AC178" s="61">
        <f>AC179</f>
        <v>32</v>
      </c>
      <c r="AD178" s="61">
        <f>AD179</f>
        <v>16</v>
      </c>
      <c r="AE178" s="61">
        <f>AE179</f>
        <v>8</v>
      </c>
      <c r="AF178" s="61">
        <f>AF179</f>
        <v>4</v>
      </c>
      <c r="AG178" s="61">
        <f>AG179</f>
        <v>2</v>
      </c>
      <c r="AH178" s="76">
        <f>AH179</f>
        <v>1</v>
      </c>
      <c r="AI178" s="55"/>
    </row>
    <row r="179" spans="2:35">
      <c r="B179" s="99"/>
      <c r="C179" s="75">
        <f>D179*2</f>
        <v>2147483648</v>
      </c>
      <c r="D179" s="61">
        <f>E179*2</f>
        <v>1073741824</v>
      </c>
      <c r="E179" s="61">
        <f>F179*2</f>
        <v>536870912</v>
      </c>
      <c r="F179" s="61">
        <f>G179*2</f>
        <v>268435456</v>
      </c>
      <c r="G179" s="61">
        <f>H179*2</f>
        <v>134217728</v>
      </c>
      <c r="H179" s="61">
        <f>I179*2</f>
        <v>67108864</v>
      </c>
      <c r="I179" s="61">
        <f>J179*2</f>
        <v>33554432</v>
      </c>
      <c r="J179" s="87">
        <f>K179*2</f>
        <v>16777216</v>
      </c>
      <c r="K179" s="95">
        <f>L179*2</f>
        <v>8388608</v>
      </c>
      <c r="L179" s="61">
        <f>M179*2</f>
        <v>4194304</v>
      </c>
      <c r="M179" s="61">
        <f>N179*2</f>
        <v>2097152</v>
      </c>
      <c r="N179" s="61">
        <f>O179*2</f>
        <v>1048576</v>
      </c>
      <c r="O179" s="61">
        <f>P179*2</f>
        <v>524288</v>
      </c>
      <c r="P179" s="61">
        <f>Q179*2</f>
        <v>262144</v>
      </c>
      <c r="Q179" s="61">
        <f>R179*2</f>
        <v>131072</v>
      </c>
      <c r="R179" s="87">
        <f>S179*2</f>
        <v>65536</v>
      </c>
      <c r="S179" s="95">
        <f>T179*2</f>
        <v>32768</v>
      </c>
      <c r="T179" s="61">
        <f>U179*2</f>
        <v>16384</v>
      </c>
      <c r="U179" s="61">
        <f>V179*2</f>
        <v>8192</v>
      </c>
      <c r="V179" s="61">
        <f>W179*2</f>
        <v>4096</v>
      </c>
      <c r="W179" s="61">
        <f>X179*2</f>
        <v>2048</v>
      </c>
      <c r="X179" s="61">
        <f>Y179*2</f>
        <v>1024</v>
      </c>
      <c r="Y179" s="61">
        <f>Z179*2</f>
        <v>512</v>
      </c>
      <c r="Z179" s="87">
        <f>AA179*2</f>
        <v>256</v>
      </c>
      <c r="AA179" s="61">
        <f>AB179*2</f>
        <v>128</v>
      </c>
      <c r="AB179" s="61">
        <f>AC179*2</f>
        <v>64</v>
      </c>
      <c r="AC179" s="61">
        <f>AD179*2</f>
        <v>32</v>
      </c>
      <c r="AD179" s="61">
        <f>AE179*2</f>
        <v>16</v>
      </c>
      <c r="AE179" s="61">
        <f>AF179*2</f>
        <v>8</v>
      </c>
      <c r="AF179" s="61">
        <f>AG179*2</f>
        <v>4</v>
      </c>
      <c r="AG179" s="61">
        <f>AH179*2</f>
        <v>2</v>
      </c>
      <c r="AH179" s="76">
        <v>1</v>
      </c>
      <c r="AI179" s="55"/>
    </row>
    <row r="180" spans="2:35">
      <c r="B180" s="99"/>
      <c r="C180" s="77">
        <f>C170+1</f>
        <v>18</v>
      </c>
      <c r="D180" s="62"/>
      <c r="E180" s="62"/>
      <c r="F180" s="62"/>
      <c r="G180" s="62" t="str">
        <f>CONCATENATE(C180,"th")</f>
        <v>18th</v>
      </c>
      <c r="H180" s="62"/>
      <c r="I180" s="62"/>
      <c r="J180" s="88"/>
      <c r="K180" s="92"/>
      <c r="L180" s="58"/>
      <c r="M180" s="58"/>
      <c r="N180" s="58"/>
      <c r="O180" s="58"/>
      <c r="P180" s="58"/>
      <c r="Q180" s="58"/>
      <c r="R180" s="84"/>
      <c r="S180" s="92"/>
      <c r="T180" s="58"/>
      <c r="U180" s="58"/>
      <c r="V180" s="58"/>
      <c r="W180" s="58"/>
      <c r="X180" s="58"/>
      <c r="Y180" s="58"/>
      <c r="Z180" s="84"/>
      <c r="AA180" s="58"/>
      <c r="AB180" s="58"/>
      <c r="AC180" s="58"/>
      <c r="AD180" s="58"/>
      <c r="AE180" s="58"/>
      <c r="AF180" s="58"/>
      <c r="AG180" s="58"/>
      <c r="AH180" s="70"/>
      <c r="AI180" s="55"/>
    </row>
    <row r="181" spans="2:35" ht="15.75" thickBot="1">
      <c r="B181" s="100"/>
      <c r="C181" s="78" t="str">
        <f>IF(OR(VariableLengthSubnetMaskCalc.!$D$2="",VariableLengthSubnetMaskCalc.!$D$12="",VariableLengthSubnetMaskCalc.!$D$22="",VariableLengthSubnetMaskCalc.!$D$32="",VariableLengthSubnetMaskCalc.!$D$42="",VariableLengthSubnetMaskCalc.!$D$52="",VariableLengthSubnetMaskCalc.!$D$62="",VariableLengthSubnetMaskCalc.!$D$72="",VariableLengthSubnetMaskCalc.!$D$82="",VariableLengthSubnetMaskCalc.!$D$92="",VariableLengthSubnetMaskCalc.!$D$102="",VariableLengthSubnetMaskCalc.!$D$112="",VariableLengthSubnetMaskCalc.!$D$122="",VariableLengthSubnetMaskCalc.!$D$132="",VariableLengthSubnetMaskCalc.!$D$142="",VariableLengthSubnetMaskCalc.!$D$152="",VariableLengthSubnetMaskCalc.!$D$162="",VariableLengthSubnetMaskCalc.!$D$172=""),"",VariableLengthSubnetMaskCalc.!D172)</f>
        <v/>
      </c>
      <c r="D181" s="79"/>
      <c r="E181" s="79"/>
      <c r="F181" s="79"/>
      <c r="G181" s="79"/>
      <c r="H181" s="79"/>
      <c r="I181" s="79"/>
      <c r="J181" s="89"/>
      <c r="K181" s="96"/>
      <c r="L181" s="80"/>
      <c r="M181" s="80"/>
      <c r="N181" s="80"/>
      <c r="O181" s="80"/>
      <c r="P181" s="80"/>
      <c r="Q181" s="80"/>
      <c r="R181" s="97"/>
      <c r="S181" s="96"/>
      <c r="T181" s="80"/>
      <c r="U181" s="80"/>
      <c r="V181" s="80"/>
      <c r="W181" s="80"/>
      <c r="X181" s="80"/>
      <c r="Y181" s="80"/>
      <c r="Z181" s="97"/>
      <c r="AA181" s="80"/>
      <c r="AB181" s="80"/>
      <c r="AC181" s="80"/>
      <c r="AD181" s="80"/>
      <c r="AE181" s="80"/>
      <c r="AF181" s="80"/>
      <c r="AG181" s="80"/>
      <c r="AH181" s="81"/>
      <c r="AI181" s="55"/>
    </row>
    <row r="182" spans="2:35" ht="15" customHeight="1">
      <c r="B182" s="98" t="str">
        <f>VariableLengthSubnetMaskCalc.!B182</f>
        <v>19th
Network</v>
      </c>
      <c r="C182" s="64">
        <f>IF(VariableLengthSubnetMaskCalc.!D183&gt;C189,0,1)</f>
        <v>0</v>
      </c>
      <c r="D182" s="65">
        <f>IF(VariableLengthSubnetMaskCalc.!D183&gt;D189,0,1)</f>
        <v>0</v>
      </c>
      <c r="E182" s="65">
        <f>IF(VariableLengthSubnetMaskCalc.!D183&gt;E189,0,1)</f>
        <v>0</v>
      </c>
      <c r="F182" s="65">
        <f>IF(VariableLengthSubnetMaskCalc.!D183&gt;F189,0,1)</f>
        <v>0</v>
      </c>
      <c r="G182" s="65">
        <f>IF(VariableLengthSubnetMaskCalc.!D183&gt;G189,0,1)</f>
        <v>0</v>
      </c>
      <c r="H182" s="65">
        <f>IF(VariableLengthSubnetMaskCalc.!D183&gt;H189,0,1)</f>
        <v>0</v>
      </c>
      <c r="I182" s="65">
        <f>IF(VariableLengthSubnetMaskCalc.!D183&gt;I189,0,1)</f>
        <v>0</v>
      </c>
      <c r="J182" s="82">
        <f>IF(VariableLengthSubnetMaskCalc.!D183&gt;J189,0,1)</f>
        <v>0</v>
      </c>
      <c r="K182" s="90">
        <f>IF(VariableLengthSubnetMaskCalc.!D183&gt;K189,0,1)</f>
        <v>0</v>
      </c>
      <c r="L182" s="65">
        <f>IF(VariableLengthSubnetMaskCalc.!D183&gt;L189,0,1)</f>
        <v>0</v>
      </c>
      <c r="M182" s="65">
        <f>IF(VariableLengthSubnetMaskCalc.!D183&gt;M189,0,1)</f>
        <v>0</v>
      </c>
      <c r="N182" s="65">
        <f>IF(VariableLengthSubnetMaskCalc.!D183&gt;N189,0,1)</f>
        <v>0</v>
      </c>
      <c r="O182" s="65">
        <f>IF(VariableLengthSubnetMaskCalc.!D183&gt;O189,0,1)</f>
        <v>0</v>
      </c>
      <c r="P182" s="65">
        <f>IF(VariableLengthSubnetMaskCalc.!D183&gt;P189,0,1)</f>
        <v>0</v>
      </c>
      <c r="Q182" s="65">
        <f>IF(VariableLengthSubnetMaskCalc.!D183&gt;Q189,0,1)</f>
        <v>0</v>
      </c>
      <c r="R182" s="82">
        <f>IF(VariableLengthSubnetMaskCalc.!D183&gt;R189,0,1)</f>
        <v>0</v>
      </c>
      <c r="S182" s="90">
        <f>IF(VariableLengthSubnetMaskCalc.!D183&gt;S189,0,1)</f>
        <v>0</v>
      </c>
      <c r="T182" s="65">
        <f>IF(VariableLengthSubnetMaskCalc.!D183&gt;T189,0,1)</f>
        <v>0</v>
      </c>
      <c r="U182" s="65">
        <f>IF(VariableLengthSubnetMaskCalc.!D183&gt;U189,0,1)</f>
        <v>0</v>
      </c>
      <c r="V182" s="65">
        <f>IF(VariableLengthSubnetMaskCalc.!D183&gt;V189,0,1)</f>
        <v>0</v>
      </c>
      <c r="W182" s="65">
        <f>IF(VariableLengthSubnetMaskCalc.!D183&gt;W189,0,1)</f>
        <v>0</v>
      </c>
      <c r="X182" s="65">
        <f>IF(VariableLengthSubnetMaskCalc.!D183&gt;X189,0,1)</f>
        <v>0</v>
      </c>
      <c r="Y182" s="65">
        <f>IF(VariableLengthSubnetMaskCalc.!D183&gt;Y189,0,1)</f>
        <v>0</v>
      </c>
      <c r="Z182" s="82">
        <f>IF(VariableLengthSubnetMaskCalc.!D183&gt;Z189,0,1)</f>
        <v>0</v>
      </c>
      <c r="AA182" s="65">
        <f>IF(VariableLengthSubnetMaskCalc.!D183&gt;AA189,0,1)</f>
        <v>0</v>
      </c>
      <c r="AB182" s="65">
        <f>IF(VariableLengthSubnetMaskCalc.!D183&gt;AB189,0,1)</f>
        <v>0</v>
      </c>
      <c r="AC182" s="65">
        <f>IF(VariableLengthSubnetMaskCalc.!D183&gt;AC189,0,1)</f>
        <v>0</v>
      </c>
      <c r="AD182" s="65">
        <f>IF(VariableLengthSubnetMaskCalc.!D183&gt;AD189,0,1)</f>
        <v>0</v>
      </c>
      <c r="AE182" s="65">
        <f>IF(VariableLengthSubnetMaskCalc.!D183&gt;AE189,0,1)</f>
        <v>0</v>
      </c>
      <c r="AF182" s="65">
        <f>IF(VariableLengthSubnetMaskCalc.!D183&gt;AF189,0,1)</f>
        <v>0</v>
      </c>
      <c r="AG182" s="65">
        <f>IF(VariableLengthSubnetMaskCalc.!D183&gt;AG189,0,1)</f>
        <v>0</v>
      </c>
      <c r="AH182" s="66">
        <f>IF(VariableLengthSubnetMaskCalc.!D183&gt;AH189,0,1)</f>
        <v>0</v>
      </c>
      <c r="AI182" s="55"/>
    </row>
    <row r="183" spans="2:35">
      <c r="B183" s="99"/>
      <c r="C183" s="67">
        <f>IF(C182=1,0,1)</f>
        <v>1</v>
      </c>
      <c r="D183" s="57">
        <f>IF(D182=1,0,1)</f>
        <v>1</v>
      </c>
      <c r="E183" s="57">
        <f>IF(E182=1,0,1)</f>
        <v>1</v>
      </c>
      <c r="F183" s="57">
        <f>IF(F182=1,0,1)</f>
        <v>1</v>
      </c>
      <c r="G183" s="57">
        <f>IF(G182=1,0,1)</f>
        <v>1</v>
      </c>
      <c r="H183" s="57">
        <f>IF(H182=1,0,1)</f>
        <v>1</v>
      </c>
      <c r="I183" s="57">
        <f>IF(I182=1,0,1)</f>
        <v>1</v>
      </c>
      <c r="J183" s="83">
        <f>IF(J182=1,0,1)</f>
        <v>1</v>
      </c>
      <c r="K183" s="91">
        <f>IF(K182=1,0,1)</f>
        <v>1</v>
      </c>
      <c r="L183" s="57">
        <f>IF(L182=1,0,1)</f>
        <v>1</v>
      </c>
      <c r="M183" s="57">
        <f>IF(M182=1,0,1)</f>
        <v>1</v>
      </c>
      <c r="N183" s="57">
        <f>IF(N182=1,0,1)</f>
        <v>1</v>
      </c>
      <c r="O183" s="57">
        <f>IF(O182=1,0,1)</f>
        <v>1</v>
      </c>
      <c r="P183" s="57">
        <f>IF(P182=1,0,1)</f>
        <v>1</v>
      </c>
      <c r="Q183" s="57">
        <f>IF(Q182=1,0,1)</f>
        <v>1</v>
      </c>
      <c r="R183" s="83">
        <f>IF(R182=1,0,1)</f>
        <v>1</v>
      </c>
      <c r="S183" s="91">
        <f>IF(S182=1,0,1)</f>
        <v>1</v>
      </c>
      <c r="T183" s="57">
        <f>IF(T182=1,0,1)</f>
        <v>1</v>
      </c>
      <c r="U183" s="57">
        <f>IF(U182=1,0,1)</f>
        <v>1</v>
      </c>
      <c r="V183" s="57">
        <f>IF(V182=1,0,1)</f>
        <v>1</v>
      </c>
      <c r="W183" s="57">
        <f>IF(W182=1,0,1)</f>
        <v>1</v>
      </c>
      <c r="X183" s="57">
        <f>IF(X182=1,0,1)</f>
        <v>1</v>
      </c>
      <c r="Y183" s="57">
        <f>IF(Y182=1,0,1)</f>
        <v>1</v>
      </c>
      <c r="Z183" s="83">
        <f>IF(Z182=1,0,1)</f>
        <v>1</v>
      </c>
      <c r="AA183" s="57">
        <f>IF(AA182=1,0,1)</f>
        <v>1</v>
      </c>
      <c r="AB183" s="57">
        <f>IF(AB182=1,0,1)</f>
        <v>1</v>
      </c>
      <c r="AC183" s="57">
        <f>IF(AC182=1,0,1)</f>
        <v>1</v>
      </c>
      <c r="AD183" s="57">
        <f>IF(AD182=1,0,1)</f>
        <v>1</v>
      </c>
      <c r="AE183" s="57">
        <f>IF(AE182=1,0,1)</f>
        <v>1</v>
      </c>
      <c r="AF183" s="57">
        <f>IF(AF182=1,0,1)</f>
        <v>1</v>
      </c>
      <c r="AG183" s="57">
        <f>IF(AG182=1,0,1)</f>
        <v>1</v>
      </c>
      <c r="AH183" s="68">
        <f>IF(AH182=1,0,1)</f>
        <v>1</v>
      </c>
      <c r="AI183" s="55"/>
    </row>
    <row r="184" spans="2:35">
      <c r="B184" s="99"/>
      <c r="C184" s="69"/>
      <c r="D184" s="58"/>
      <c r="E184" s="58"/>
      <c r="F184" s="58"/>
      <c r="G184" s="58"/>
      <c r="H184" s="58"/>
      <c r="I184" s="58"/>
      <c r="J184" s="84"/>
      <c r="K184" s="92"/>
      <c r="L184" s="58"/>
      <c r="M184" s="58"/>
      <c r="N184" s="58"/>
      <c r="O184" s="58"/>
      <c r="P184" s="58"/>
      <c r="Q184" s="58"/>
      <c r="R184" s="84"/>
      <c r="S184" s="92"/>
      <c r="T184" s="58"/>
      <c r="U184" s="58"/>
      <c r="V184" s="58"/>
      <c r="W184" s="58"/>
      <c r="X184" s="58"/>
      <c r="Y184" s="58"/>
      <c r="Z184" s="84"/>
      <c r="AA184" s="58"/>
      <c r="AB184" s="58"/>
      <c r="AC184" s="58"/>
      <c r="AD184" s="58"/>
      <c r="AE184" s="58"/>
      <c r="AF184" s="58"/>
      <c r="AG184" s="58"/>
      <c r="AH184" s="70"/>
      <c r="AI184" s="55"/>
    </row>
    <row r="185" spans="2:35">
      <c r="B185" s="99"/>
      <c r="C185" s="71" t="str">
        <f>CONCATENATE(C182,D182,E182,F182,G182,H182,I182,J182)</f>
        <v>00000000</v>
      </c>
      <c r="D185" s="59"/>
      <c r="E185" s="59"/>
      <c r="F185" s="59"/>
      <c r="G185" s="59">
        <f>BIN2DEC(C185)</f>
        <v>0</v>
      </c>
      <c r="H185" s="59"/>
      <c r="I185" s="59"/>
      <c r="J185" s="85"/>
      <c r="K185" s="93" t="str">
        <f>CONCATENATE(K182,L182,M182,N182,O182,P182,Q182,R182)</f>
        <v>00000000</v>
      </c>
      <c r="L185" s="59"/>
      <c r="M185" s="59"/>
      <c r="N185" s="59"/>
      <c r="O185" s="59">
        <f>BIN2DEC(K185)</f>
        <v>0</v>
      </c>
      <c r="P185" s="59"/>
      <c r="Q185" s="59"/>
      <c r="R185" s="85"/>
      <c r="S185" s="93" t="str">
        <f>CONCATENATE(S182,T182,U182,V182,W182,X182,Y182,Z182)</f>
        <v>00000000</v>
      </c>
      <c r="T185" s="59"/>
      <c r="U185" s="59"/>
      <c r="V185" s="59"/>
      <c r="W185" s="59">
        <f>BIN2DEC(S185)</f>
        <v>0</v>
      </c>
      <c r="X185" s="59"/>
      <c r="Y185" s="59"/>
      <c r="Z185" s="85"/>
      <c r="AA185" s="59" t="str">
        <f>CONCATENATE(AA182,AB182,AC182,AD182,AE182,AF182,AG182,AH182)</f>
        <v>00000000</v>
      </c>
      <c r="AB185" s="59"/>
      <c r="AC185" s="59"/>
      <c r="AD185" s="59"/>
      <c r="AE185" s="59">
        <f>BIN2DEC(AA185)</f>
        <v>0</v>
      </c>
      <c r="AF185" s="59"/>
      <c r="AG185" s="59"/>
      <c r="AH185" s="72"/>
      <c r="AI185" s="55"/>
    </row>
    <row r="186" spans="2:35">
      <c r="B186" s="99"/>
      <c r="C186" s="71" t="str">
        <f>CONCATENATE(C183,D183,E183,F183,G183,H183,I183,J183,)</f>
        <v>11111111</v>
      </c>
      <c r="D186" s="59"/>
      <c r="E186" s="59"/>
      <c r="F186" s="59"/>
      <c r="G186" s="59">
        <f>BIN2DEC(C186)</f>
        <v>255</v>
      </c>
      <c r="H186" s="59"/>
      <c r="I186" s="59"/>
      <c r="J186" s="85"/>
      <c r="K186" s="93" t="str">
        <f>CONCATENATE(K183,L183,M183,N183,O183,P183,Q183,R183,)</f>
        <v>11111111</v>
      </c>
      <c r="L186" s="59"/>
      <c r="M186" s="59"/>
      <c r="N186" s="59"/>
      <c r="O186" s="59">
        <f>BIN2DEC(K186)</f>
        <v>255</v>
      </c>
      <c r="P186" s="59"/>
      <c r="Q186" s="59"/>
      <c r="R186" s="85"/>
      <c r="S186" s="93" t="str">
        <f>CONCATENATE(S183,T183,U183,V183,W183,X183,Y183,Z183,)</f>
        <v>11111111</v>
      </c>
      <c r="T186" s="59"/>
      <c r="U186" s="59"/>
      <c r="V186" s="59"/>
      <c r="W186" s="59">
        <f>BIN2DEC(S186)</f>
        <v>255</v>
      </c>
      <c r="X186" s="59"/>
      <c r="Y186" s="59"/>
      <c r="Z186" s="85"/>
      <c r="AA186" s="59" t="str">
        <f>CONCATENATE(AA183,AB183,AC183,AD183,AE183,AF183,AG183,AH183,)</f>
        <v>11111111</v>
      </c>
      <c r="AB186" s="59"/>
      <c r="AC186" s="59"/>
      <c r="AD186" s="59"/>
      <c r="AE186" s="59">
        <f>BIN2DEC(AA186)</f>
        <v>255</v>
      </c>
      <c r="AF186" s="59"/>
      <c r="AG186" s="59"/>
      <c r="AH186" s="72"/>
      <c r="AI186" s="55"/>
    </row>
    <row r="187" spans="2:35">
      <c r="B187" s="99"/>
      <c r="C187" s="73" t="b">
        <f>AND(VariableLengthSubnetMaskCalc.!D182+2&lt;C189,VariableLengthSubnetMaskCalc.!D182+2&gt;D189)</f>
        <v>0</v>
      </c>
      <c r="D187" s="60" t="b">
        <f>AND(VariableLengthSubnetMaskCalc.!D182+2&lt;D189,VariableLengthSubnetMaskCalc.!D182+2&gt;E189)</f>
        <v>0</v>
      </c>
      <c r="E187" s="60" t="b">
        <f>AND(VariableLengthSubnetMaskCalc.!D182+2&lt;E189,VariableLengthSubnetMaskCalc.!D182+2&gt;F189)</f>
        <v>0</v>
      </c>
      <c r="F187" s="60" t="b">
        <f>AND(VariableLengthSubnetMaskCalc.!D182+2&lt;F189,VariableLengthSubnetMaskCalc.!D182+2&gt;G189)</f>
        <v>0</v>
      </c>
      <c r="G187" s="60" t="b">
        <f>AND(VariableLengthSubnetMaskCalc.!D182+2&lt;G189,VariableLengthSubnetMaskCalc.!D182+2&gt;H189)</f>
        <v>0</v>
      </c>
      <c r="H187" s="60" t="b">
        <f>AND(VariableLengthSubnetMaskCalc.!D182+2&lt;H189,VariableLengthSubnetMaskCalc.!D182+2&gt;I189)</f>
        <v>0</v>
      </c>
      <c r="I187" s="60" t="b">
        <f>AND(VariableLengthSubnetMaskCalc.!D182+2&lt;I189,VariableLengthSubnetMaskCalc.!D182+2&gt;J189)</f>
        <v>0</v>
      </c>
      <c r="J187" s="86" t="b">
        <f>AND(VariableLengthSubnetMaskCalc.!D182+2&lt;J189,VariableLengthSubnetMaskCalc.!D182+2&gt;K189)</f>
        <v>0</v>
      </c>
      <c r="K187" s="94" t="b">
        <f>AND(VariableLengthSubnetMaskCalc.!D182+2&lt;K189,VariableLengthSubnetMaskCalc.!D182+2&gt;L189)</f>
        <v>0</v>
      </c>
      <c r="L187" s="60" t="b">
        <f>AND(VariableLengthSubnetMaskCalc.!D182+2&lt;L189,VariableLengthSubnetMaskCalc.!D182+2&gt;M189)</f>
        <v>0</v>
      </c>
      <c r="M187" s="60" t="b">
        <f>AND(VariableLengthSubnetMaskCalc.!D182+2&lt;M189,VariableLengthSubnetMaskCalc.!D182+2&gt;N189)</f>
        <v>0</v>
      </c>
      <c r="N187" s="60" t="b">
        <f>AND(VariableLengthSubnetMaskCalc.!D182+2&lt;N189,VariableLengthSubnetMaskCalc.!D182+2&gt;O189)</f>
        <v>0</v>
      </c>
      <c r="O187" s="60" t="b">
        <f>AND(VariableLengthSubnetMaskCalc.!D182+2&lt;O189,VariableLengthSubnetMaskCalc.!D182+2&gt;P189)</f>
        <v>0</v>
      </c>
      <c r="P187" s="60" t="b">
        <f>AND(VariableLengthSubnetMaskCalc.!D182+2&lt;P189,VariableLengthSubnetMaskCalc.!D182+2&gt;Q189)</f>
        <v>0</v>
      </c>
      <c r="Q187" s="60" t="b">
        <f>AND(VariableLengthSubnetMaskCalc.!D182+2&lt;Q189,VariableLengthSubnetMaskCalc.!D182+2&gt;R189)</f>
        <v>0</v>
      </c>
      <c r="R187" s="86" t="b">
        <f>AND(VariableLengthSubnetMaskCalc.!D182+2&lt;R189,VariableLengthSubnetMaskCalc.!D182+2&gt;S189)</f>
        <v>0</v>
      </c>
      <c r="S187" s="94" t="b">
        <f>AND(VariableLengthSubnetMaskCalc.!D182+2&lt;S189,VariableLengthSubnetMaskCalc.!D182+2&gt;T189)</f>
        <v>0</v>
      </c>
      <c r="T187" s="60" t="b">
        <f>AND(VariableLengthSubnetMaskCalc.!D182+2&lt;T189,VariableLengthSubnetMaskCalc.!D182+2&gt;U189)</f>
        <v>0</v>
      </c>
      <c r="U187" s="60" t="b">
        <f>AND(VariableLengthSubnetMaskCalc.!D182+2&lt;U189,VariableLengthSubnetMaskCalc.!D182+2&gt;V189)</f>
        <v>0</v>
      </c>
      <c r="V187" s="60" t="b">
        <f>AND(VariableLengthSubnetMaskCalc.!D182+2&lt;V189,VariableLengthSubnetMaskCalc.!D182+2&gt;W189)</f>
        <v>0</v>
      </c>
      <c r="W187" s="60" t="b">
        <f>AND(VariableLengthSubnetMaskCalc.!D182+2&lt;W189,VariableLengthSubnetMaskCalc.!D182+2&gt;X189)</f>
        <v>0</v>
      </c>
      <c r="X187" s="60" t="b">
        <f>AND(VariableLengthSubnetMaskCalc.!D182+2&lt;X189,VariableLengthSubnetMaskCalc.!D182+2&gt;Y189)</f>
        <v>0</v>
      </c>
      <c r="Y187" s="60" t="b">
        <f>AND(VariableLengthSubnetMaskCalc.!D182+2&lt;Y189,VariableLengthSubnetMaskCalc.!D182+2&gt;Z189)</f>
        <v>0</v>
      </c>
      <c r="Z187" s="86" t="b">
        <f>AND(VariableLengthSubnetMaskCalc.!D182+2&lt;Z189,VariableLengthSubnetMaskCalc.!D182+2&gt;AA189)</f>
        <v>0</v>
      </c>
      <c r="AA187" s="60" t="b">
        <f>AND(VariableLengthSubnetMaskCalc.!D182+2&lt;AA189,VariableLengthSubnetMaskCalc.!D182+2&gt;AB189)</f>
        <v>0</v>
      </c>
      <c r="AB187" s="60" t="b">
        <f>AND(VariableLengthSubnetMaskCalc.!D182+2&lt;AB189,VariableLengthSubnetMaskCalc.!D182+2&gt;AC189)</f>
        <v>0</v>
      </c>
      <c r="AC187" s="60" t="b">
        <f>AND(VariableLengthSubnetMaskCalc.!D182+2&lt;AC189,VariableLengthSubnetMaskCalc.!D182+2&gt;AD189)</f>
        <v>0</v>
      </c>
      <c r="AD187" s="60" t="b">
        <f>AND(VariableLengthSubnetMaskCalc.!D182+2&lt;AD189,VariableLengthSubnetMaskCalc.!D182+2&gt;AE189)</f>
        <v>0</v>
      </c>
      <c r="AE187" s="60" t="b">
        <f>AND(VariableLengthSubnetMaskCalc.!D182+2&lt;AE189,VariableLengthSubnetMaskCalc.!D182+2&gt;AF189)</f>
        <v>0</v>
      </c>
      <c r="AF187" s="60" t="b">
        <f>AND(VariableLengthSubnetMaskCalc.!D182+2&lt;AF189,VariableLengthSubnetMaskCalc.!D182+2&gt;AG189)</f>
        <v>0</v>
      </c>
      <c r="AG187" s="60" t="b">
        <f>AND(VariableLengthSubnetMaskCalc.!D182+2&lt;AG189,VariableLengthSubnetMaskCalc.!D182+2&gt;AH189)</f>
        <v>0</v>
      </c>
      <c r="AH187" s="74" t="b">
        <f>AND(VariableLengthSubnetMaskCalc.!D182+2&lt;AH189,VariableLengthSubnetMaskCalc.!D182+2&gt;0)</f>
        <v>0</v>
      </c>
      <c r="AI187" s="55"/>
    </row>
    <row r="188" spans="2:35">
      <c r="B188" s="99"/>
      <c r="C188" s="75">
        <f>AA189</f>
        <v>128</v>
      </c>
      <c r="D188" s="61">
        <f>AB189</f>
        <v>64</v>
      </c>
      <c r="E188" s="61">
        <f>AC189</f>
        <v>32</v>
      </c>
      <c r="F188" s="61">
        <f>AD189</f>
        <v>16</v>
      </c>
      <c r="G188" s="61">
        <f>AE189</f>
        <v>8</v>
      </c>
      <c r="H188" s="61">
        <f>AF189</f>
        <v>4</v>
      </c>
      <c r="I188" s="61">
        <f>AG189</f>
        <v>2</v>
      </c>
      <c r="J188" s="87">
        <f>AH189</f>
        <v>1</v>
      </c>
      <c r="K188" s="95">
        <f>AA189</f>
        <v>128</v>
      </c>
      <c r="L188" s="61">
        <f>AB189</f>
        <v>64</v>
      </c>
      <c r="M188" s="61">
        <f>AC189</f>
        <v>32</v>
      </c>
      <c r="N188" s="61">
        <f>AD189</f>
        <v>16</v>
      </c>
      <c r="O188" s="61">
        <f>AE189</f>
        <v>8</v>
      </c>
      <c r="P188" s="61">
        <f>AF189</f>
        <v>4</v>
      </c>
      <c r="Q188" s="61">
        <f>AG189</f>
        <v>2</v>
      </c>
      <c r="R188" s="87">
        <f>AH189</f>
        <v>1</v>
      </c>
      <c r="S188" s="95">
        <f>AA189</f>
        <v>128</v>
      </c>
      <c r="T188" s="61">
        <f>AB189</f>
        <v>64</v>
      </c>
      <c r="U188" s="61">
        <f>AC189</f>
        <v>32</v>
      </c>
      <c r="V188" s="61">
        <f>AD189</f>
        <v>16</v>
      </c>
      <c r="W188" s="61">
        <f>AE189</f>
        <v>8</v>
      </c>
      <c r="X188" s="61">
        <f>AF189</f>
        <v>4</v>
      </c>
      <c r="Y188" s="61">
        <f>AG189</f>
        <v>2</v>
      </c>
      <c r="Z188" s="87">
        <f>AH189</f>
        <v>1</v>
      </c>
      <c r="AA188" s="61">
        <f>AA189</f>
        <v>128</v>
      </c>
      <c r="AB188" s="61">
        <f>AB189</f>
        <v>64</v>
      </c>
      <c r="AC188" s="61">
        <f>AC189</f>
        <v>32</v>
      </c>
      <c r="AD188" s="61">
        <f>AD189</f>
        <v>16</v>
      </c>
      <c r="AE188" s="61">
        <f>AE189</f>
        <v>8</v>
      </c>
      <c r="AF188" s="61">
        <f>AF189</f>
        <v>4</v>
      </c>
      <c r="AG188" s="61">
        <f>AG189</f>
        <v>2</v>
      </c>
      <c r="AH188" s="76">
        <f>AH189</f>
        <v>1</v>
      </c>
      <c r="AI188" s="55"/>
    </row>
    <row r="189" spans="2:35">
      <c r="B189" s="99"/>
      <c r="C189" s="75">
        <f>D189*2</f>
        <v>2147483648</v>
      </c>
      <c r="D189" s="61">
        <f>E189*2</f>
        <v>1073741824</v>
      </c>
      <c r="E189" s="61">
        <f>F189*2</f>
        <v>536870912</v>
      </c>
      <c r="F189" s="61">
        <f>G189*2</f>
        <v>268435456</v>
      </c>
      <c r="G189" s="61">
        <f>H189*2</f>
        <v>134217728</v>
      </c>
      <c r="H189" s="61">
        <f>I189*2</f>
        <v>67108864</v>
      </c>
      <c r="I189" s="61">
        <f>J189*2</f>
        <v>33554432</v>
      </c>
      <c r="J189" s="87">
        <f>K189*2</f>
        <v>16777216</v>
      </c>
      <c r="K189" s="95">
        <f>L189*2</f>
        <v>8388608</v>
      </c>
      <c r="L189" s="61">
        <f>M189*2</f>
        <v>4194304</v>
      </c>
      <c r="M189" s="61">
        <f>N189*2</f>
        <v>2097152</v>
      </c>
      <c r="N189" s="61">
        <f>O189*2</f>
        <v>1048576</v>
      </c>
      <c r="O189" s="61">
        <f>P189*2</f>
        <v>524288</v>
      </c>
      <c r="P189" s="61">
        <f>Q189*2</f>
        <v>262144</v>
      </c>
      <c r="Q189" s="61">
        <f>R189*2</f>
        <v>131072</v>
      </c>
      <c r="R189" s="87">
        <f>S189*2</f>
        <v>65536</v>
      </c>
      <c r="S189" s="95">
        <f>T189*2</f>
        <v>32768</v>
      </c>
      <c r="T189" s="61">
        <f>U189*2</f>
        <v>16384</v>
      </c>
      <c r="U189" s="61">
        <f>V189*2</f>
        <v>8192</v>
      </c>
      <c r="V189" s="61">
        <f>W189*2</f>
        <v>4096</v>
      </c>
      <c r="W189" s="61">
        <f>X189*2</f>
        <v>2048</v>
      </c>
      <c r="X189" s="61">
        <f>Y189*2</f>
        <v>1024</v>
      </c>
      <c r="Y189" s="61">
        <f>Z189*2</f>
        <v>512</v>
      </c>
      <c r="Z189" s="87">
        <f>AA189*2</f>
        <v>256</v>
      </c>
      <c r="AA189" s="61">
        <f>AB189*2</f>
        <v>128</v>
      </c>
      <c r="AB189" s="61">
        <f>AC189*2</f>
        <v>64</v>
      </c>
      <c r="AC189" s="61">
        <f>AD189*2</f>
        <v>32</v>
      </c>
      <c r="AD189" s="61">
        <f>AE189*2</f>
        <v>16</v>
      </c>
      <c r="AE189" s="61">
        <f>AF189*2</f>
        <v>8</v>
      </c>
      <c r="AF189" s="61">
        <f>AG189*2</f>
        <v>4</v>
      </c>
      <c r="AG189" s="61">
        <f>AH189*2</f>
        <v>2</v>
      </c>
      <c r="AH189" s="76">
        <v>1</v>
      </c>
      <c r="AI189" s="55"/>
    </row>
    <row r="190" spans="2:35">
      <c r="B190" s="99"/>
      <c r="C190" s="77">
        <f>C180+1</f>
        <v>19</v>
      </c>
      <c r="D190" s="62"/>
      <c r="E190" s="62"/>
      <c r="F190" s="62"/>
      <c r="G190" s="62" t="str">
        <f>CONCATENATE(C190,"th")</f>
        <v>19th</v>
      </c>
      <c r="H190" s="62"/>
      <c r="I190" s="62"/>
      <c r="J190" s="88"/>
      <c r="K190" s="92"/>
      <c r="L190" s="58"/>
      <c r="M190" s="58"/>
      <c r="N190" s="58"/>
      <c r="O190" s="58"/>
      <c r="P190" s="58"/>
      <c r="Q190" s="58"/>
      <c r="R190" s="84"/>
      <c r="S190" s="92"/>
      <c r="T190" s="58"/>
      <c r="U190" s="58"/>
      <c r="V190" s="58"/>
      <c r="W190" s="58"/>
      <c r="X190" s="58"/>
      <c r="Y190" s="58"/>
      <c r="Z190" s="84"/>
      <c r="AA190" s="58"/>
      <c r="AB190" s="58"/>
      <c r="AC190" s="58"/>
      <c r="AD190" s="58"/>
      <c r="AE190" s="58"/>
      <c r="AF190" s="58"/>
      <c r="AG190" s="58"/>
      <c r="AH190" s="70"/>
      <c r="AI190" s="55"/>
    </row>
    <row r="191" spans="2:35" ht="15.75" thickBot="1">
      <c r="B191" s="100"/>
      <c r="C191" s="78" t="str">
        <f>IF(OR(VariableLengthSubnetMaskCalc.!$D$2="",VariableLengthSubnetMaskCalc.!$D$12="",VariableLengthSubnetMaskCalc.!$D$22="",VariableLengthSubnetMaskCalc.!$D$32="",VariableLengthSubnetMaskCalc.!$D$42="",VariableLengthSubnetMaskCalc.!$D$52="",VariableLengthSubnetMaskCalc.!$D$62="",VariableLengthSubnetMaskCalc.!$D$72="",VariableLengthSubnetMaskCalc.!$D$82="",VariableLengthSubnetMaskCalc.!$D$92="",VariableLengthSubnetMaskCalc.!$D$102="",VariableLengthSubnetMaskCalc.!$D$112="",VariableLengthSubnetMaskCalc.!$D$122="",VariableLengthSubnetMaskCalc.!$D$132="",VariableLengthSubnetMaskCalc.!$D$142="",VariableLengthSubnetMaskCalc.!$D$152="",VariableLengthSubnetMaskCalc.!$D$162="",VariableLengthSubnetMaskCalc.!$D$172="",VariableLengthSubnetMaskCalc.!$D$182=""),"",VariableLengthSubnetMaskCalc.!D182)</f>
        <v/>
      </c>
      <c r="D191" s="79"/>
      <c r="E191" s="79"/>
      <c r="F191" s="79"/>
      <c r="G191" s="79"/>
      <c r="H191" s="79"/>
      <c r="I191" s="79"/>
      <c r="J191" s="89"/>
      <c r="K191" s="96"/>
      <c r="L191" s="80"/>
      <c r="M191" s="80"/>
      <c r="N191" s="80"/>
      <c r="O191" s="80"/>
      <c r="P191" s="80"/>
      <c r="Q191" s="80"/>
      <c r="R191" s="97"/>
      <c r="S191" s="96"/>
      <c r="T191" s="80"/>
      <c r="U191" s="80"/>
      <c r="V191" s="80"/>
      <c r="W191" s="80"/>
      <c r="X191" s="80"/>
      <c r="Y191" s="80"/>
      <c r="Z191" s="97"/>
      <c r="AA191" s="80"/>
      <c r="AB191" s="80"/>
      <c r="AC191" s="80"/>
      <c r="AD191" s="80"/>
      <c r="AE191" s="80"/>
      <c r="AF191" s="80"/>
      <c r="AG191" s="80"/>
      <c r="AH191" s="81"/>
      <c r="AI191" s="55"/>
    </row>
    <row r="192" spans="2:35" ht="15" customHeight="1">
      <c r="B192" s="98" t="str">
        <f>VariableLengthSubnetMaskCalc.!B192</f>
        <v>20th
Network</v>
      </c>
      <c r="C192" s="64">
        <f>IF(VariableLengthSubnetMaskCalc.!D193&gt;C199,0,1)</f>
        <v>0</v>
      </c>
      <c r="D192" s="65">
        <f>IF(VariableLengthSubnetMaskCalc.!D193&gt;D199,0,1)</f>
        <v>0</v>
      </c>
      <c r="E192" s="65">
        <f>IF(VariableLengthSubnetMaskCalc.!D193&gt;E199,0,1)</f>
        <v>0</v>
      </c>
      <c r="F192" s="65">
        <f>IF(VariableLengthSubnetMaskCalc.!D193&gt;F199,0,1)</f>
        <v>0</v>
      </c>
      <c r="G192" s="65">
        <f>IF(VariableLengthSubnetMaskCalc.!D193&gt;G199,0,1)</f>
        <v>0</v>
      </c>
      <c r="H192" s="65">
        <f>IF(VariableLengthSubnetMaskCalc.!D193&gt;H199,0,1)</f>
        <v>0</v>
      </c>
      <c r="I192" s="65">
        <f>IF(VariableLengthSubnetMaskCalc.!D193&gt;I199,0,1)</f>
        <v>0</v>
      </c>
      <c r="J192" s="82">
        <f>IF(VariableLengthSubnetMaskCalc.!D193&gt;J199,0,1)</f>
        <v>0</v>
      </c>
      <c r="K192" s="90">
        <f>IF(VariableLengthSubnetMaskCalc.!D193&gt;K199,0,1)</f>
        <v>0</v>
      </c>
      <c r="L192" s="65">
        <f>IF(VariableLengthSubnetMaskCalc.!D193&gt;L199,0,1)</f>
        <v>0</v>
      </c>
      <c r="M192" s="65">
        <f>IF(VariableLengthSubnetMaskCalc.!D193&gt;M199,0,1)</f>
        <v>0</v>
      </c>
      <c r="N192" s="65">
        <f>IF(VariableLengthSubnetMaskCalc.!D193&gt;N199,0,1)</f>
        <v>0</v>
      </c>
      <c r="O192" s="65">
        <f>IF(VariableLengthSubnetMaskCalc.!D193&gt;O199,0,1)</f>
        <v>0</v>
      </c>
      <c r="P192" s="65">
        <f>IF(VariableLengthSubnetMaskCalc.!D193&gt;P199,0,1)</f>
        <v>0</v>
      </c>
      <c r="Q192" s="65">
        <f>IF(VariableLengthSubnetMaskCalc.!D193&gt;Q199,0,1)</f>
        <v>0</v>
      </c>
      <c r="R192" s="82">
        <f>IF(VariableLengthSubnetMaskCalc.!D193&gt;R199,0,1)</f>
        <v>0</v>
      </c>
      <c r="S192" s="90">
        <f>IF(VariableLengthSubnetMaskCalc.!D193&gt;S199,0,1)</f>
        <v>0</v>
      </c>
      <c r="T192" s="65">
        <f>IF(VariableLengthSubnetMaskCalc.!D193&gt;T199,0,1)</f>
        <v>0</v>
      </c>
      <c r="U192" s="65">
        <f>IF(VariableLengthSubnetMaskCalc.!D193&gt;U199,0,1)</f>
        <v>0</v>
      </c>
      <c r="V192" s="65">
        <f>IF(VariableLengthSubnetMaskCalc.!D193&gt;V199,0,1)</f>
        <v>0</v>
      </c>
      <c r="W192" s="65">
        <f>IF(VariableLengthSubnetMaskCalc.!D193&gt;W199,0,1)</f>
        <v>0</v>
      </c>
      <c r="X192" s="65">
        <f>IF(VariableLengthSubnetMaskCalc.!D193&gt;X199,0,1)</f>
        <v>0</v>
      </c>
      <c r="Y192" s="65">
        <f>IF(VariableLengthSubnetMaskCalc.!D193&gt;Y199,0,1)</f>
        <v>0</v>
      </c>
      <c r="Z192" s="82">
        <f>IF(VariableLengthSubnetMaskCalc.!D193&gt;Z199,0,1)</f>
        <v>0</v>
      </c>
      <c r="AA192" s="65">
        <f>IF(VariableLengthSubnetMaskCalc.!D193&gt;AA199,0,1)</f>
        <v>0</v>
      </c>
      <c r="AB192" s="65">
        <f>IF(VariableLengthSubnetMaskCalc.!D193&gt;AB199,0,1)</f>
        <v>0</v>
      </c>
      <c r="AC192" s="65">
        <f>IF(VariableLengthSubnetMaskCalc.!D193&gt;AC199,0,1)</f>
        <v>0</v>
      </c>
      <c r="AD192" s="65">
        <f>IF(VariableLengthSubnetMaskCalc.!D193&gt;AD199,0,1)</f>
        <v>0</v>
      </c>
      <c r="AE192" s="65">
        <f>IF(VariableLengthSubnetMaskCalc.!D193&gt;AE199,0,1)</f>
        <v>0</v>
      </c>
      <c r="AF192" s="65">
        <f>IF(VariableLengthSubnetMaskCalc.!D193&gt;AF199,0,1)</f>
        <v>0</v>
      </c>
      <c r="AG192" s="65">
        <f>IF(VariableLengthSubnetMaskCalc.!D193&gt;AG199,0,1)</f>
        <v>0</v>
      </c>
      <c r="AH192" s="66">
        <f>IF(VariableLengthSubnetMaskCalc.!D193&gt;AH199,0,1)</f>
        <v>0</v>
      </c>
      <c r="AI192" s="55"/>
    </row>
    <row r="193" spans="2:35">
      <c r="B193" s="99"/>
      <c r="C193" s="67">
        <f>IF(C192=1,0,1)</f>
        <v>1</v>
      </c>
      <c r="D193" s="57">
        <f>IF(D192=1,0,1)</f>
        <v>1</v>
      </c>
      <c r="E193" s="57">
        <f>IF(E192=1,0,1)</f>
        <v>1</v>
      </c>
      <c r="F193" s="57">
        <f>IF(F192=1,0,1)</f>
        <v>1</v>
      </c>
      <c r="G193" s="57">
        <f>IF(G192=1,0,1)</f>
        <v>1</v>
      </c>
      <c r="H193" s="57">
        <f>IF(H192=1,0,1)</f>
        <v>1</v>
      </c>
      <c r="I193" s="57">
        <f>IF(I192=1,0,1)</f>
        <v>1</v>
      </c>
      <c r="J193" s="83">
        <f>IF(J192=1,0,1)</f>
        <v>1</v>
      </c>
      <c r="K193" s="91">
        <f>IF(K192=1,0,1)</f>
        <v>1</v>
      </c>
      <c r="L193" s="57">
        <f>IF(L192=1,0,1)</f>
        <v>1</v>
      </c>
      <c r="M193" s="57">
        <f>IF(M192=1,0,1)</f>
        <v>1</v>
      </c>
      <c r="N193" s="57">
        <f>IF(N192=1,0,1)</f>
        <v>1</v>
      </c>
      <c r="O193" s="57">
        <f>IF(O192=1,0,1)</f>
        <v>1</v>
      </c>
      <c r="P193" s="57">
        <f>IF(P192=1,0,1)</f>
        <v>1</v>
      </c>
      <c r="Q193" s="57">
        <f>IF(Q192=1,0,1)</f>
        <v>1</v>
      </c>
      <c r="R193" s="83">
        <f>IF(R192=1,0,1)</f>
        <v>1</v>
      </c>
      <c r="S193" s="91">
        <f>IF(S192=1,0,1)</f>
        <v>1</v>
      </c>
      <c r="T193" s="57">
        <f>IF(T192=1,0,1)</f>
        <v>1</v>
      </c>
      <c r="U193" s="57">
        <f>IF(U192=1,0,1)</f>
        <v>1</v>
      </c>
      <c r="V193" s="57">
        <f>IF(V192=1,0,1)</f>
        <v>1</v>
      </c>
      <c r="W193" s="57">
        <f>IF(W192=1,0,1)</f>
        <v>1</v>
      </c>
      <c r="X193" s="57">
        <f>IF(X192=1,0,1)</f>
        <v>1</v>
      </c>
      <c r="Y193" s="57">
        <f>IF(Y192=1,0,1)</f>
        <v>1</v>
      </c>
      <c r="Z193" s="83">
        <f>IF(Z192=1,0,1)</f>
        <v>1</v>
      </c>
      <c r="AA193" s="57">
        <f>IF(AA192=1,0,1)</f>
        <v>1</v>
      </c>
      <c r="AB193" s="57">
        <f>IF(AB192=1,0,1)</f>
        <v>1</v>
      </c>
      <c r="AC193" s="57">
        <f>IF(AC192=1,0,1)</f>
        <v>1</v>
      </c>
      <c r="AD193" s="57">
        <f>IF(AD192=1,0,1)</f>
        <v>1</v>
      </c>
      <c r="AE193" s="57">
        <f>IF(AE192=1,0,1)</f>
        <v>1</v>
      </c>
      <c r="AF193" s="57">
        <f>IF(AF192=1,0,1)</f>
        <v>1</v>
      </c>
      <c r="AG193" s="57">
        <f>IF(AG192=1,0,1)</f>
        <v>1</v>
      </c>
      <c r="AH193" s="68">
        <f>IF(AH192=1,0,1)</f>
        <v>1</v>
      </c>
      <c r="AI193" s="55"/>
    </row>
    <row r="194" spans="2:35">
      <c r="B194" s="99"/>
      <c r="C194" s="69"/>
      <c r="D194" s="58"/>
      <c r="E194" s="58"/>
      <c r="F194" s="58"/>
      <c r="G194" s="58"/>
      <c r="H194" s="58"/>
      <c r="I194" s="58"/>
      <c r="J194" s="84"/>
      <c r="K194" s="92"/>
      <c r="L194" s="58"/>
      <c r="M194" s="58"/>
      <c r="N194" s="58"/>
      <c r="O194" s="58"/>
      <c r="P194" s="58"/>
      <c r="Q194" s="58"/>
      <c r="R194" s="84"/>
      <c r="S194" s="92"/>
      <c r="T194" s="58"/>
      <c r="U194" s="58"/>
      <c r="V194" s="58"/>
      <c r="W194" s="58"/>
      <c r="X194" s="58"/>
      <c r="Y194" s="58"/>
      <c r="Z194" s="84"/>
      <c r="AA194" s="58"/>
      <c r="AB194" s="58"/>
      <c r="AC194" s="58"/>
      <c r="AD194" s="58"/>
      <c r="AE194" s="58"/>
      <c r="AF194" s="58"/>
      <c r="AG194" s="58"/>
      <c r="AH194" s="70"/>
      <c r="AI194" s="55"/>
    </row>
    <row r="195" spans="2:35">
      <c r="B195" s="99"/>
      <c r="C195" s="71" t="str">
        <f>CONCATENATE(C192,D192,E192,F192,G192,H192,I192,J192)</f>
        <v>00000000</v>
      </c>
      <c r="D195" s="59"/>
      <c r="E195" s="59"/>
      <c r="F195" s="59"/>
      <c r="G195" s="59">
        <f>BIN2DEC(C195)</f>
        <v>0</v>
      </c>
      <c r="H195" s="59"/>
      <c r="I195" s="59"/>
      <c r="J195" s="85"/>
      <c r="K195" s="93" t="str">
        <f>CONCATENATE(K192,L192,M192,N192,O192,P192,Q192,R192)</f>
        <v>00000000</v>
      </c>
      <c r="L195" s="59"/>
      <c r="M195" s="59"/>
      <c r="N195" s="59"/>
      <c r="O195" s="59">
        <f>BIN2DEC(K195)</f>
        <v>0</v>
      </c>
      <c r="P195" s="59"/>
      <c r="Q195" s="59"/>
      <c r="R195" s="85"/>
      <c r="S195" s="93" t="str">
        <f>CONCATENATE(S192,T192,U192,V192,W192,X192,Y192,Z192)</f>
        <v>00000000</v>
      </c>
      <c r="T195" s="59"/>
      <c r="U195" s="59"/>
      <c r="V195" s="59"/>
      <c r="W195" s="59">
        <f>BIN2DEC(S195)</f>
        <v>0</v>
      </c>
      <c r="X195" s="59"/>
      <c r="Y195" s="59"/>
      <c r="Z195" s="85"/>
      <c r="AA195" s="59" t="str">
        <f>CONCATENATE(AA192,AB192,AC192,AD192,AE192,AF192,AG192,AH192)</f>
        <v>00000000</v>
      </c>
      <c r="AB195" s="59"/>
      <c r="AC195" s="59"/>
      <c r="AD195" s="59"/>
      <c r="AE195" s="59">
        <f>BIN2DEC(AA195)</f>
        <v>0</v>
      </c>
      <c r="AF195" s="59"/>
      <c r="AG195" s="59"/>
      <c r="AH195" s="72"/>
      <c r="AI195" s="55"/>
    </row>
    <row r="196" spans="2:35">
      <c r="B196" s="99"/>
      <c r="C196" s="71" t="str">
        <f>CONCATENATE(C193,D193,E193,F193,G193,H193,I193,J193,)</f>
        <v>11111111</v>
      </c>
      <c r="D196" s="59"/>
      <c r="E196" s="59"/>
      <c r="F196" s="59"/>
      <c r="G196" s="59">
        <f>BIN2DEC(C196)</f>
        <v>255</v>
      </c>
      <c r="H196" s="59"/>
      <c r="I196" s="59"/>
      <c r="J196" s="85"/>
      <c r="K196" s="93" t="str">
        <f>CONCATENATE(K193,L193,M193,N193,O193,P193,Q193,R193,)</f>
        <v>11111111</v>
      </c>
      <c r="L196" s="59"/>
      <c r="M196" s="59"/>
      <c r="N196" s="59"/>
      <c r="O196" s="59">
        <f>BIN2DEC(K196)</f>
        <v>255</v>
      </c>
      <c r="P196" s="59"/>
      <c r="Q196" s="59"/>
      <c r="R196" s="85"/>
      <c r="S196" s="93" t="str">
        <f>CONCATENATE(S193,T193,U193,V193,W193,X193,Y193,Z193,)</f>
        <v>11111111</v>
      </c>
      <c r="T196" s="59"/>
      <c r="U196" s="59"/>
      <c r="V196" s="59"/>
      <c r="W196" s="59">
        <f>BIN2DEC(S196)</f>
        <v>255</v>
      </c>
      <c r="X196" s="59"/>
      <c r="Y196" s="59"/>
      <c r="Z196" s="85"/>
      <c r="AA196" s="59" t="str">
        <f>CONCATENATE(AA193,AB193,AC193,AD193,AE193,AF193,AG193,AH193,)</f>
        <v>11111111</v>
      </c>
      <c r="AB196" s="59"/>
      <c r="AC196" s="59"/>
      <c r="AD196" s="59"/>
      <c r="AE196" s="59">
        <f>BIN2DEC(AA196)</f>
        <v>255</v>
      </c>
      <c r="AF196" s="59"/>
      <c r="AG196" s="59"/>
      <c r="AH196" s="72"/>
      <c r="AI196" s="55"/>
    </row>
    <row r="197" spans="2:35">
      <c r="B197" s="99"/>
      <c r="C197" s="73" t="b">
        <f>AND(VariableLengthSubnetMaskCalc.!D192+2&lt;C199,VariableLengthSubnetMaskCalc.!D192+2&gt;D199)</f>
        <v>0</v>
      </c>
      <c r="D197" s="60" t="b">
        <f>AND(VariableLengthSubnetMaskCalc.!D192+2&lt;D199,VariableLengthSubnetMaskCalc.!D192+2&gt;E199)</f>
        <v>0</v>
      </c>
      <c r="E197" s="60" t="b">
        <f>AND(VariableLengthSubnetMaskCalc.!D192+2&lt;E199,VariableLengthSubnetMaskCalc.!D192+2&gt;F199)</f>
        <v>0</v>
      </c>
      <c r="F197" s="60" t="b">
        <f>AND(VariableLengthSubnetMaskCalc.!D192+2&lt;F199,VariableLengthSubnetMaskCalc.!D192+2&gt;G199)</f>
        <v>0</v>
      </c>
      <c r="G197" s="60" t="b">
        <f>AND(VariableLengthSubnetMaskCalc.!D192+2&lt;G199,VariableLengthSubnetMaskCalc.!D192+2&gt;H199)</f>
        <v>0</v>
      </c>
      <c r="H197" s="60" t="b">
        <f>AND(VariableLengthSubnetMaskCalc.!D192+2&lt;H199,VariableLengthSubnetMaskCalc.!D192+2&gt;I199)</f>
        <v>0</v>
      </c>
      <c r="I197" s="60" t="b">
        <f>AND(VariableLengthSubnetMaskCalc.!D192+2&lt;I199,VariableLengthSubnetMaskCalc.!D192+2&gt;J199)</f>
        <v>0</v>
      </c>
      <c r="J197" s="86" t="b">
        <f>AND(VariableLengthSubnetMaskCalc.!D192+2&lt;J199,VariableLengthSubnetMaskCalc.!D192+2&gt;K199)</f>
        <v>0</v>
      </c>
      <c r="K197" s="94" t="b">
        <f>AND(VariableLengthSubnetMaskCalc.!D192+2&lt;K199,VariableLengthSubnetMaskCalc.!D192+2&gt;L199)</f>
        <v>0</v>
      </c>
      <c r="L197" s="60" t="b">
        <f>AND(VariableLengthSubnetMaskCalc.!D192+2&lt;L199,VariableLengthSubnetMaskCalc.!D192+2&gt;M199)</f>
        <v>0</v>
      </c>
      <c r="M197" s="60" t="b">
        <f>AND(VariableLengthSubnetMaskCalc.!D192+2&lt;M199,VariableLengthSubnetMaskCalc.!D192+2&gt;N199)</f>
        <v>0</v>
      </c>
      <c r="N197" s="60" t="b">
        <f>AND(VariableLengthSubnetMaskCalc.!D192+2&lt;N199,VariableLengthSubnetMaskCalc.!D192+2&gt;O199)</f>
        <v>0</v>
      </c>
      <c r="O197" s="60" t="b">
        <f>AND(VariableLengthSubnetMaskCalc.!D192+2&lt;O199,VariableLengthSubnetMaskCalc.!D192+2&gt;P199)</f>
        <v>0</v>
      </c>
      <c r="P197" s="60" t="b">
        <f>AND(VariableLengthSubnetMaskCalc.!D192+2&lt;P199,VariableLengthSubnetMaskCalc.!D192+2&gt;Q199)</f>
        <v>0</v>
      </c>
      <c r="Q197" s="60" t="b">
        <f>AND(VariableLengthSubnetMaskCalc.!D192+2&lt;Q199,VariableLengthSubnetMaskCalc.!D192+2&gt;R199)</f>
        <v>0</v>
      </c>
      <c r="R197" s="86" t="b">
        <f>AND(VariableLengthSubnetMaskCalc.!D192+2&lt;R199,VariableLengthSubnetMaskCalc.!D192+2&gt;S199)</f>
        <v>0</v>
      </c>
      <c r="S197" s="94" t="b">
        <f>AND(VariableLengthSubnetMaskCalc.!D192+2&lt;S199,VariableLengthSubnetMaskCalc.!D192+2&gt;T199)</f>
        <v>0</v>
      </c>
      <c r="T197" s="60" t="b">
        <f>AND(VariableLengthSubnetMaskCalc.!D192+2&lt;T199,VariableLengthSubnetMaskCalc.!D192+2&gt;U199)</f>
        <v>0</v>
      </c>
      <c r="U197" s="60" t="b">
        <f>AND(VariableLengthSubnetMaskCalc.!D192+2&lt;U199,VariableLengthSubnetMaskCalc.!D192+2&gt;V199)</f>
        <v>0</v>
      </c>
      <c r="V197" s="60" t="b">
        <f>AND(VariableLengthSubnetMaskCalc.!D192+2&lt;V199,VariableLengthSubnetMaskCalc.!D192+2&gt;W199)</f>
        <v>0</v>
      </c>
      <c r="W197" s="60" t="b">
        <f>AND(VariableLengthSubnetMaskCalc.!D192+2&lt;W199,VariableLengthSubnetMaskCalc.!D192+2&gt;X199)</f>
        <v>0</v>
      </c>
      <c r="X197" s="60" t="b">
        <f>AND(VariableLengthSubnetMaskCalc.!D192+2&lt;X199,VariableLengthSubnetMaskCalc.!D192+2&gt;Y199)</f>
        <v>0</v>
      </c>
      <c r="Y197" s="60" t="b">
        <f>AND(VariableLengthSubnetMaskCalc.!D192+2&lt;Y199,VariableLengthSubnetMaskCalc.!D192+2&gt;Z199)</f>
        <v>0</v>
      </c>
      <c r="Z197" s="86" t="b">
        <f>AND(VariableLengthSubnetMaskCalc.!D192+2&lt;Z199,VariableLengthSubnetMaskCalc.!D192+2&gt;AA199)</f>
        <v>0</v>
      </c>
      <c r="AA197" s="60" t="b">
        <f>AND(VariableLengthSubnetMaskCalc.!D192+2&lt;AA199,VariableLengthSubnetMaskCalc.!D192+2&gt;AB199)</f>
        <v>0</v>
      </c>
      <c r="AB197" s="60" t="b">
        <f>AND(VariableLengthSubnetMaskCalc.!D192+2&lt;AB199,VariableLengthSubnetMaskCalc.!D192+2&gt;AC199)</f>
        <v>0</v>
      </c>
      <c r="AC197" s="60" t="b">
        <f>AND(VariableLengthSubnetMaskCalc.!D192+2&lt;AC199,VariableLengthSubnetMaskCalc.!D192+2&gt;AD199)</f>
        <v>0</v>
      </c>
      <c r="AD197" s="60" t="b">
        <f>AND(VariableLengthSubnetMaskCalc.!D192+2&lt;AD199,VariableLengthSubnetMaskCalc.!D192+2&gt;AE199)</f>
        <v>0</v>
      </c>
      <c r="AE197" s="60" t="b">
        <f>AND(VariableLengthSubnetMaskCalc.!D192+2&lt;AE199,VariableLengthSubnetMaskCalc.!D192+2&gt;AF199)</f>
        <v>0</v>
      </c>
      <c r="AF197" s="60" t="b">
        <f>AND(VariableLengthSubnetMaskCalc.!D192+2&lt;AF199,VariableLengthSubnetMaskCalc.!D192+2&gt;AG199)</f>
        <v>0</v>
      </c>
      <c r="AG197" s="60" t="b">
        <f>AND(VariableLengthSubnetMaskCalc.!D192+2&lt;AG199,VariableLengthSubnetMaskCalc.!D192+2&gt;AH199)</f>
        <v>0</v>
      </c>
      <c r="AH197" s="74" t="b">
        <f>AND(VariableLengthSubnetMaskCalc.!D192+2&lt;AH199,VariableLengthSubnetMaskCalc.!D192+2&gt;0)</f>
        <v>0</v>
      </c>
      <c r="AI197" s="55"/>
    </row>
    <row r="198" spans="2:35">
      <c r="B198" s="99"/>
      <c r="C198" s="75">
        <f>AA199</f>
        <v>128</v>
      </c>
      <c r="D198" s="61">
        <f>AB199</f>
        <v>64</v>
      </c>
      <c r="E198" s="61">
        <f>AC199</f>
        <v>32</v>
      </c>
      <c r="F198" s="61">
        <f>AD199</f>
        <v>16</v>
      </c>
      <c r="G198" s="61">
        <f>AE199</f>
        <v>8</v>
      </c>
      <c r="H198" s="61">
        <f>AF199</f>
        <v>4</v>
      </c>
      <c r="I198" s="61">
        <f>AG199</f>
        <v>2</v>
      </c>
      <c r="J198" s="87">
        <f>AH199</f>
        <v>1</v>
      </c>
      <c r="K198" s="95">
        <f>AA199</f>
        <v>128</v>
      </c>
      <c r="L198" s="61">
        <f>AB199</f>
        <v>64</v>
      </c>
      <c r="M198" s="61">
        <f>AC199</f>
        <v>32</v>
      </c>
      <c r="N198" s="61">
        <f>AD199</f>
        <v>16</v>
      </c>
      <c r="O198" s="61">
        <f>AE199</f>
        <v>8</v>
      </c>
      <c r="P198" s="61">
        <f>AF199</f>
        <v>4</v>
      </c>
      <c r="Q198" s="61">
        <f>AG199</f>
        <v>2</v>
      </c>
      <c r="R198" s="87">
        <f>AH199</f>
        <v>1</v>
      </c>
      <c r="S198" s="95">
        <f>AA199</f>
        <v>128</v>
      </c>
      <c r="T198" s="61">
        <f>AB199</f>
        <v>64</v>
      </c>
      <c r="U198" s="61">
        <f>AC199</f>
        <v>32</v>
      </c>
      <c r="V198" s="61">
        <f>AD199</f>
        <v>16</v>
      </c>
      <c r="W198" s="61">
        <f>AE199</f>
        <v>8</v>
      </c>
      <c r="X198" s="61">
        <f>AF199</f>
        <v>4</v>
      </c>
      <c r="Y198" s="61">
        <f>AG199</f>
        <v>2</v>
      </c>
      <c r="Z198" s="87">
        <f>AH199</f>
        <v>1</v>
      </c>
      <c r="AA198" s="61">
        <f>AA199</f>
        <v>128</v>
      </c>
      <c r="AB198" s="61">
        <f>AB199</f>
        <v>64</v>
      </c>
      <c r="AC198" s="61">
        <f>AC199</f>
        <v>32</v>
      </c>
      <c r="AD198" s="61">
        <f>AD199</f>
        <v>16</v>
      </c>
      <c r="AE198" s="61">
        <f>AE199</f>
        <v>8</v>
      </c>
      <c r="AF198" s="61">
        <f>AF199</f>
        <v>4</v>
      </c>
      <c r="AG198" s="61">
        <f>AG199</f>
        <v>2</v>
      </c>
      <c r="AH198" s="76">
        <f>AH199</f>
        <v>1</v>
      </c>
      <c r="AI198" s="55"/>
    </row>
    <row r="199" spans="2:35">
      <c r="B199" s="99"/>
      <c r="C199" s="75">
        <f>D199*2</f>
        <v>2147483648</v>
      </c>
      <c r="D199" s="61">
        <f>E199*2</f>
        <v>1073741824</v>
      </c>
      <c r="E199" s="61">
        <f>F199*2</f>
        <v>536870912</v>
      </c>
      <c r="F199" s="61">
        <f>G199*2</f>
        <v>268435456</v>
      </c>
      <c r="G199" s="61">
        <f>H199*2</f>
        <v>134217728</v>
      </c>
      <c r="H199" s="61">
        <f>I199*2</f>
        <v>67108864</v>
      </c>
      <c r="I199" s="61">
        <f>J199*2</f>
        <v>33554432</v>
      </c>
      <c r="J199" s="87">
        <f>K199*2</f>
        <v>16777216</v>
      </c>
      <c r="K199" s="95">
        <f>L199*2</f>
        <v>8388608</v>
      </c>
      <c r="L199" s="61">
        <f>M199*2</f>
        <v>4194304</v>
      </c>
      <c r="M199" s="61">
        <f>N199*2</f>
        <v>2097152</v>
      </c>
      <c r="N199" s="61">
        <f>O199*2</f>
        <v>1048576</v>
      </c>
      <c r="O199" s="61">
        <f>P199*2</f>
        <v>524288</v>
      </c>
      <c r="P199" s="61">
        <f>Q199*2</f>
        <v>262144</v>
      </c>
      <c r="Q199" s="61">
        <f>R199*2</f>
        <v>131072</v>
      </c>
      <c r="R199" s="87">
        <f>S199*2</f>
        <v>65536</v>
      </c>
      <c r="S199" s="95">
        <f>T199*2</f>
        <v>32768</v>
      </c>
      <c r="T199" s="61">
        <f>U199*2</f>
        <v>16384</v>
      </c>
      <c r="U199" s="61">
        <f>V199*2</f>
        <v>8192</v>
      </c>
      <c r="V199" s="61">
        <f>W199*2</f>
        <v>4096</v>
      </c>
      <c r="W199" s="61">
        <f>X199*2</f>
        <v>2048</v>
      </c>
      <c r="X199" s="61">
        <f>Y199*2</f>
        <v>1024</v>
      </c>
      <c r="Y199" s="61">
        <f>Z199*2</f>
        <v>512</v>
      </c>
      <c r="Z199" s="87">
        <f>AA199*2</f>
        <v>256</v>
      </c>
      <c r="AA199" s="61">
        <f>AB199*2</f>
        <v>128</v>
      </c>
      <c r="AB199" s="61">
        <f>AC199*2</f>
        <v>64</v>
      </c>
      <c r="AC199" s="61">
        <f>AD199*2</f>
        <v>32</v>
      </c>
      <c r="AD199" s="61">
        <f>AE199*2</f>
        <v>16</v>
      </c>
      <c r="AE199" s="61">
        <f>AF199*2</f>
        <v>8</v>
      </c>
      <c r="AF199" s="61">
        <f>AG199*2</f>
        <v>4</v>
      </c>
      <c r="AG199" s="61">
        <f>AH199*2</f>
        <v>2</v>
      </c>
      <c r="AH199" s="76">
        <v>1</v>
      </c>
      <c r="AI199" s="55"/>
    </row>
    <row r="200" spans="2:35">
      <c r="B200" s="99"/>
      <c r="C200" s="77">
        <f>C190+1</f>
        <v>20</v>
      </c>
      <c r="D200" s="62"/>
      <c r="E200" s="62"/>
      <c r="F200" s="62"/>
      <c r="G200" s="62" t="str">
        <f>CONCATENATE(C200,"th")</f>
        <v>20th</v>
      </c>
      <c r="H200" s="62"/>
      <c r="I200" s="62"/>
      <c r="J200" s="88"/>
      <c r="K200" s="92"/>
      <c r="L200" s="58"/>
      <c r="M200" s="58"/>
      <c r="N200" s="58"/>
      <c r="O200" s="58"/>
      <c r="P200" s="58"/>
      <c r="Q200" s="58"/>
      <c r="R200" s="84"/>
      <c r="S200" s="92"/>
      <c r="T200" s="58"/>
      <c r="U200" s="58"/>
      <c r="V200" s="58"/>
      <c r="W200" s="58"/>
      <c r="X200" s="58"/>
      <c r="Y200" s="58"/>
      <c r="Z200" s="84"/>
      <c r="AA200" s="58"/>
      <c r="AB200" s="58"/>
      <c r="AC200" s="58"/>
      <c r="AD200" s="58"/>
      <c r="AE200" s="58"/>
      <c r="AF200" s="58"/>
      <c r="AG200" s="58"/>
      <c r="AH200" s="70"/>
      <c r="AI200" s="55"/>
    </row>
    <row r="201" spans="2:35" ht="15.75" thickBot="1">
      <c r="B201" s="100"/>
      <c r="C201" s="78" t="str">
        <f>IF(OR(VariableLengthSubnetMaskCalc.!$D$2="",VariableLengthSubnetMaskCalc.!$D$12="",VariableLengthSubnetMaskCalc.!$D$22="",VariableLengthSubnetMaskCalc.!$D$32="",VariableLengthSubnetMaskCalc.!$D$42="",VariableLengthSubnetMaskCalc.!$D$52="",VariableLengthSubnetMaskCalc.!$D$62="",VariableLengthSubnetMaskCalc.!$D$72="",VariableLengthSubnetMaskCalc.!$D$82="",VariableLengthSubnetMaskCalc.!$D$92="",VariableLengthSubnetMaskCalc.!$D$102="",VariableLengthSubnetMaskCalc.!$D$112="",VariableLengthSubnetMaskCalc.!$D$122="",VariableLengthSubnetMaskCalc.!$D$132="",VariableLengthSubnetMaskCalc.!$D$142="",VariableLengthSubnetMaskCalc.!$D$152="",VariableLengthSubnetMaskCalc.!$D$162="",VariableLengthSubnetMaskCalc.!$D$172="",VariableLengthSubnetMaskCalc.!$D$182="",VariableLengthSubnetMaskCalc.!$D$192=""),"",VariableLengthSubnetMaskCalc.!D192)</f>
        <v/>
      </c>
      <c r="D201" s="79"/>
      <c r="E201" s="79"/>
      <c r="F201" s="79"/>
      <c r="G201" s="79"/>
      <c r="H201" s="79"/>
      <c r="I201" s="79"/>
      <c r="J201" s="89"/>
      <c r="K201" s="96"/>
      <c r="L201" s="80"/>
      <c r="M201" s="80"/>
      <c r="N201" s="80"/>
      <c r="O201" s="80"/>
      <c r="P201" s="80"/>
      <c r="Q201" s="80"/>
      <c r="R201" s="97"/>
      <c r="S201" s="96"/>
      <c r="T201" s="80"/>
      <c r="U201" s="80"/>
      <c r="V201" s="80"/>
      <c r="W201" s="80"/>
      <c r="X201" s="80"/>
      <c r="Y201" s="80"/>
      <c r="Z201" s="97"/>
      <c r="AA201" s="80"/>
      <c r="AB201" s="80"/>
      <c r="AC201" s="80"/>
      <c r="AD201" s="80"/>
      <c r="AE201" s="80"/>
      <c r="AF201" s="80"/>
      <c r="AG201" s="80"/>
      <c r="AH201" s="81"/>
      <c r="AI201" s="55"/>
    </row>
    <row r="202" spans="2:35"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  <c r="AC202" s="55"/>
      <c r="AD202" s="55"/>
      <c r="AE202" s="55"/>
      <c r="AF202" s="55"/>
      <c r="AG202" s="55"/>
      <c r="AH202" s="55"/>
      <c r="AI202" s="55"/>
    </row>
    <row r="203" spans="2:35" hidden="1">
      <c r="C203" s="63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</row>
    <row r="204" spans="2:35" hidden="1"/>
  </sheetData>
  <sheetProtection sheet="1" objects="1" scenarios="1" selectLockedCells="1"/>
  <mergeCells count="400">
    <mergeCell ref="B172:B181"/>
    <mergeCell ref="B182:B191"/>
    <mergeCell ref="B192:B201"/>
    <mergeCell ref="B112:B121"/>
    <mergeCell ref="B122:B131"/>
    <mergeCell ref="B132:B141"/>
    <mergeCell ref="B142:B151"/>
    <mergeCell ref="B152:B161"/>
    <mergeCell ref="B162:B171"/>
    <mergeCell ref="B52:B61"/>
    <mergeCell ref="B62:B71"/>
    <mergeCell ref="B72:B81"/>
    <mergeCell ref="B82:B91"/>
    <mergeCell ref="B92:B101"/>
    <mergeCell ref="B102:B111"/>
    <mergeCell ref="AE5:AH5"/>
    <mergeCell ref="B2:B11"/>
    <mergeCell ref="B12:B21"/>
    <mergeCell ref="B22:B31"/>
    <mergeCell ref="B32:B41"/>
    <mergeCell ref="B42:B51"/>
    <mergeCell ref="O6:R6"/>
    <mergeCell ref="S6:V6"/>
    <mergeCell ref="W6:Z6"/>
    <mergeCell ref="AA6:AD6"/>
    <mergeCell ref="AE6:AH6"/>
    <mergeCell ref="K5:N5"/>
    <mergeCell ref="O5:R5"/>
    <mergeCell ref="S5:V5"/>
    <mergeCell ref="W5:Z5"/>
    <mergeCell ref="AA5:AD5"/>
    <mergeCell ref="C5:F5"/>
    <mergeCell ref="G5:J5"/>
    <mergeCell ref="C6:F6"/>
    <mergeCell ref="G6:J6"/>
    <mergeCell ref="C10:F10"/>
    <mergeCell ref="K6:N6"/>
    <mergeCell ref="G10:J10"/>
    <mergeCell ref="C11:J11"/>
    <mergeCell ref="C15:F15"/>
    <mergeCell ref="G15:J15"/>
    <mergeCell ref="C16:F16"/>
    <mergeCell ref="G16:J16"/>
    <mergeCell ref="C31:J31"/>
    <mergeCell ref="W16:Z16"/>
    <mergeCell ref="AA16:AD16"/>
    <mergeCell ref="AE16:AH16"/>
    <mergeCell ref="K15:N15"/>
    <mergeCell ref="O15:R15"/>
    <mergeCell ref="S15:V15"/>
    <mergeCell ref="W15:Z15"/>
    <mergeCell ref="AA15:AD15"/>
    <mergeCell ref="AE15:AH15"/>
    <mergeCell ref="W26:Z26"/>
    <mergeCell ref="C25:F25"/>
    <mergeCell ref="G25:J25"/>
    <mergeCell ref="K16:N16"/>
    <mergeCell ref="O16:R16"/>
    <mergeCell ref="S16:V16"/>
    <mergeCell ref="K25:N25"/>
    <mergeCell ref="O25:R25"/>
    <mergeCell ref="S25:V25"/>
    <mergeCell ref="G30:J30"/>
    <mergeCell ref="C26:F26"/>
    <mergeCell ref="G26:J26"/>
    <mergeCell ref="K26:N26"/>
    <mergeCell ref="O26:R26"/>
    <mergeCell ref="S26:V26"/>
    <mergeCell ref="AE35:AH35"/>
    <mergeCell ref="W25:Z25"/>
    <mergeCell ref="AA25:AD25"/>
    <mergeCell ref="AE25:AH25"/>
    <mergeCell ref="C20:F20"/>
    <mergeCell ref="G20:J20"/>
    <mergeCell ref="C21:J21"/>
    <mergeCell ref="AA26:AD26"/>
    <mergeCell ref="AE26:AH26"/>
    <mergeCell ref="C30:F30"/>
    <mergeCell ref="O36:R36"/>
    <mergeCell ref="S36:V36"/>
    <mergeCell ref="W36:Z36"/>
    <mergeCell ref="AA36:AD36"/>
    <mergeCell ref="AE36:AH36"/>
    <mergeCell ref="K35:N35"/>
    <mergeCell ref="O35:R35"/>
    <mergeCell ref="S35:V35"/>
    <mergeCell ref="W35:Z35"/>
    <mergeCell ref="AA35:AD35"/>
    <mergeCell ref="C35:F35"/>
    <mergeCell ref="G35:J35"/>
    <mergeCell ref="C36:F36"/>
    <mergeCell ref="G36:J36"/>
    <mergeCell ref="C40:F40"/>
    <mergeCell ref="K36:N36"/>
    <mergeCell ref="G40:J40"/>
    <mergeCell ref="C41:J41"/>
    <mergeCell ref="C45:F45"/>
    <mergeCell ref="G45:J45"/>
    <mergeCell ref="C46:F46"/>
    <mergeCell ref="G46:J46"/>
    <mergeCell ref="C61:J61"/>
    <mergeCell ref="W46:Z46"/>
    <mergeCell ref="AA46:AD46"/>
    <mergeCell ref="AE46:AH46"/>
    <mergeCell ref="K45:N45"/>
    <mergeCell ref="O45:R45"/>
    <mergeCell ref="S45:V45"/>
    <mergeCell ref="W45:Z45"/>
    <mergeCell ref="AA45:AD45"/>
    <mergeCell ref="AE45:AH45"/>
    <mergeCell ref="W56:Z56"/>
    <mergeCell ref="C55:F55"/>
    <mergeCell ref="G55:J55"/>
    <mergeCell ref="K46:N46"/>
    <mergeCell ref="O46:R46"/>
    <mergeCell ref="S46:V46"/>
    <mergeCell ref="K55:N55"/>
    <mergeCell ref="O55:R55"/>
    <mergeCell ref="S55:V55"/>
    <mergeCell ref="G60:J60"/>
    <mergeCell ref="C56:F56"/>
    <mergeCell ref="G56:J56"/>
    <mergeCell ref="K56:N56"/>
    <mergeCell ref="O56:R56"/>
    <mergeCell ref="S56:V56"/>
    <mergeCell ref="AE65:AH65"/>
    <mergeCell ref="W55:Z55"/>
    <mergeCell ref="AA55:AD55"/>
    <mergeCell ref="AE55:AH55"/>
    <mergeCell ref="C50:F50"/>
    <mergeCell ref="G50:J50"/>
    <mergeCell ref="C51:J51"/>
    <mergeCell ref="AA56:AD56"/>
    <mergeCell ref="AE56:AH56"/>
    <mergeCell ref="C60:F60"/>
    <mergeCell ref="O66:R66"/>
    <mergeCell ref="S66:V66"/>
    <mergeCell ref="W66:Z66"/>
    <mergeCell ref="AA66:AD66"/>
    <mergeCell ref="AE66:AH66"/>
    <mergeCell ref="K65:N65"/>
    <mergeCell ref="O65:R65"/>
    <mergeCell ref="S65:V65"/>
    <mergeCell ref="W65:Z65"/>
    <mergeCell ref="AA65:AD65"/>
    <mergeCell ref="C65:F65"/>
    <mergeCell ref="G65:J65"/>
    <mergeCell ref="C66:F66"/>
    <mergeCell ref="G66:J66"/>
    <mergeCell ref="C70:F70"/>
    <mergeCell ref="K66:N66"/>
    <mergeCell ref="G70:J70"/>
    <mergeCell ref="C71:J71"/>
    <mergeCell ref="C75:F75"/>
    <mergeCell ref="G75:J75"/>
    <mergeCell ref="C76:F76"/>
    <mergeCell ref="G76:J76"/>
    <mergeCell ref="C91:J91"/>
    <mergeCell ref="W76:Z76"/>
    <mergeCell ref="AA76:AD76"/>
    <mergeCell ref="AE76:AH76"/>
    <mergeCell ref="K75:N75"/>
    <mergeCell ref="O75:R75"/>
    <mergeCell ref="S75:V75"/>
    <mergeCell ref="W75:Z75"/>
    <mergeCell ref="AA75:AD75"/>
    <mergeCell ref="AE75:AH75"/>
    <mergeCell ref="W86:Z86"/>
    <mergeCell ref="C85:F85"/>
    <mergeCell ref="G85:J85"/>
    <mergeCell ref="K76:N76"/>
    <mergeCell ref="O76:R76"/>
    <mergeCell ref="S76:V76"/>
    <mergeCell ref="K85:N85"/>
    <mergeCell ref="O85:R85"/>
    <mergeCell ref="S85:V85"/>
    <mergeCell ref="G90:J90"/>
    <mergeCell ref="C86:F86"/>
    <mergeCell ref="G86:J86"/>
    <mergeCell ref="K86:N86"/>
    <mergeCell ref="O86:R86"/>
    <mergeCell ref="S86:V86"/>
    <mergeCell ref="AE95:AH95"/>
    <mergeCell ref="W85:Z85"/>
    <mergeCell ref="AA85:AD85"/>
    <mergeCell ref="AE85:AH85"/>
    <mergeCell ref="C80:F80"/>
    <mergeCell ref="G80:J80"/>
    <mergeCell ref="C81:J81"/>
    <mergeCell ref="AA86:AD86"/>
    <mergeCell ref="AE86:AH86"/>
    <mergeCell ref="C90:F90"/>
    <mergeCell ref="O96:R96"/>
    <mergeCell ref="S96:V96"/>
    <mergeCell ref="W96:Z96"/>
    <mergeCell ref="AA96:AD96"/>
    <mergeCell ref="AE96:AH96"/>
    <mergeCell ref="K95:N95"/>
    <mergeCell ref="O95:R95"/>
    <mergeCell ref="S95:V95"/>
    <mergeCell ref="W95:Z95"/>
    <mergeCell ref="AA95:AD95"/>
    <mergeCell ref="C95:F95"/>
    <mergeCell ref="G95:J95"/>
    <mergeCell ref="C96:F96"/>
    <mergeCell ref="G96:J96"/>
    <mergeCell ref="C100:F100"/>
    <mergeCell ref="K96:N96"/>
    <mergeCell ref="G100:J100"/>
    <mergeCell ref="C101:J101"/>
    <mergeCell ref="C105:F105"/>
    <mergeCell ref="G105:J105"/>
    <mergeCell ref="C106:F106"/>
    <mergeCell ref="G106:J106"/>
    <mergeCell ref="C121:J121"/>
    <mergeCell ref="W106:Z106"/>
    <mergeCell ref="AA106:AD106"/>
    <mergeCell ref="AE106:AH106"/>
    <mergeCell ref="K105:N105"/>
    <mergeCell ref="O105:R105"/>
    <mergeCell ref="S105:V105"/>
    <mergeCell ref="W105:Z105"/>
    <mergeCell ref="AA105:AD105"/>
    <mergeCell ref="AE105:AH105"/>
    <mergeCell ref="W116:Z116"/>
    <mergeCell ref="C115:F115"/>
    <mergeCell ref="G115:J115"/>
    <mergeCell ref="K106:N106"/>
    <mergeCell ref="O106:R106"/>
    <mergeCell ref="S106:V106"/>
    <mergeCell ref="K115:N115"/>
    <mergeCell ref="O115:R115"/>
    <mergeCell ref="S115:V115"/>
    <mergeCell ref="G120:J120"/>
    <mergeCell ref="C116:F116"/>
    <mergeCell ref="G116:J116"/>
    <mergeCell ref="K116:N116"/>
    <mergeCell ref="O116:R116"/>
    <mergeCell ref="S116:V116"/>
    <mergeCell ref="C125:F125"/>
    <mergeCell ref="W115:Z115"/>
    <mergeCell ref="AA115:AD115"/>
    <mergeCell ref="AE115:AH115"/>
    <mergeCell ref="C110:F110"/>
    <mergeCell ref="G110:J110"/>
    <mergeCell ref="C111:J111"/>
    <mergeCell ref="AA116:AD116"/>
    <mergeCell ref="AE116:AH116"/>
    <mergeCell ref="C120:F120"/>
    <mergeCell ref="AA126:AD126"/>
    <mergeCell ref="AE126:AH126"/>
    <mergeCell ref="G125:J125"/>
    <mergeCell ref="K125:N125"/>
    <mergeCell ref="O125:R125"/>
    <mergeCell ref="S125:V125"/>
    <mergeCell ref="W125:Z125"/>
    <mergeCell ref="AA125:AD125"/>
    <mergeCell ref="C140:F140"/>
    <mergeCell ref="G140:J140"/>
    <mergeCell ref="C141:J141"/>
    <mergeCell ref="AE125:AH125"/>
    <mergeCell ref="C126:F126"/>
    <mergeCell ref="G126:J126"/>
    <mergeCell ref="K126:N126"/>
    <mergeCell ref="O126:R126"/>
    <mergeCell ref="S126:V126"/>
    <mergeCell ref="W126:Z126"/>
    <mergeCell ref="G130:J130"/>
    <mergeCell ref="C131:J131"/>
    <mergeCell ref="C135:F135"/>
    <mergeCell ref="G135:J135"/>
    <mergeCell ref="C136:F136"/>
    <mergeCell ref="G136:J136"/>
    <mergeCell ref="C130:F130"/>
    <mergeCell ref="AE136:AH136"/>
    <mergeCell ref="K135:N135"/>
    <mergeCell ref="O135:R135"/>
    <mergeCell ref="S135:V135"/>
    <mergeCell ref="W135:Z135"/>
    <mergeCell ref="AA135:AD135"/>
    <mergeCell ref="AE135:AH135"/>
    <mergeCell ref="AA156:AD156"/>
    <mergeCell ref="W156:Z156"/>
    <mergeCell ref="S156:V156"/>
    <mergeCell ref="O156:R156"/>
    <mergeCell ref="K156:N156"/>
    <mergeCell ref="K136:N136"/>
    <mergeCell ref="O136:R136"/>
    <mergeCell ref="S136:V136"/>
    <mergeCell ref="W136:Z136"/>
    <mergeCell ref="AA136:AD136"/>
    <mergeCell ref="C156:F156"/>
    <mergeCell ref="G155:J155"/>
    <mergeCell ref="C155:F155"/>
    <mergeCell ref="AE155:AH155"/>
    <mergeCell ref="AA155:AD155"/>
    <mergeCell ref="W155:Z155"/>
    <mergeCell ref="S155:V155"/>
    <mergeCell ref="O155:R155"/>
    <mergeCell ref="K155:N155"/>
    <mergeCell ref="AE156:AH156"/>
    <mergeCell ref="G145:J145"/>
    <mergeCell ref="C145:F145"/>
    <mergeCell ref="AE146:AH146"/>
    <mergeCell ref="AA146:AD146"/>
    <mergeCell ref="W146:Z146"/>
    <mergeCell ref="S146:V146"/>
    <mergeCell ref="O146:R146"/>
    <mergeCell ref="K146:N146"/>
    <mergeCell ref="AE145:AH145"/>
    <mergeCell ref="AA145:AD145"/>
    <mergeCell ref="W145:Z145"/>
    <mergeCell ref="S145:V145"/>
    <mergeCell ref="O145:R145"/>
    <mergeCell ref="K145:N145"/>
    <mergeCell ref="G146:J146"/>
    <mergeCell ref="C146:F146"/>
    <mergeCell ref="C151:J151"/>
    <mergeCell ref="G150:J150"/>
    <mergeCell ref="C150:F150"/>
    <mergeCell ref="C175:F175"/>
    <mergeCell ref="C161:J161"/>
    <mergeCell ref="G160:J160"/>
    <mergeCell ref="C160:F160"/>
    <mergeCell ref="G156:J156"/>
    <mergeCell ref="C181:J181"/>
    <mergeCell ref="G180:J180"/>
    <mergeCell ref="C180:F180"/>
    <mergeCell ref="G176:J176"/>
    <mergeCell ref="C176:F176"/>
    <mergeCell ref="G175:J175"/>
    <mergeCell ref="AE176:AH176"/>
    <mergeCell ref="AA176:AD176"/>
    <mergeCell ref="W176:Z176"/>
    <mergeCell ref="S176:V176"/>
    <mergeCell ref="O176:R176"/>
    <mergeCell ref="K176:N176"/>
    <mergeCell ref="C171:J171"/>
    <mergeCell ref="AE175:AH175"/>
    <mergeCell ref="AA175:AD175"/>
    <mergeCell ref="W175:Z175"/>
    <mergeCell ref="S175:V175"/>
    <mergeCell ref="O175:R175"/>
    <mergeCell ref="K175:N175"/>
    <mergeCell ref="G170:J170"/>
    <mergeCell ref="C170:F170"/>
    <mergeCell ref="AE166:AH166"/>
    <mergeCell ref="AA166:AD166"/>
    <mergeCell ref="W166:Z166"/>
    <mergeCell ref="S166:V166"/>
    <mergeCell ref="O166:R166"/>
    <mergeCell ref="K166:N166"/>
    <mergeCell ref="G166:J166"/>
    <mergeCell ref="C166:F166"/>
    <mergeCell ref="K196:N196"/>
    <mergeCell ref="G196:J196"/>
    <mergeCell ref="G165:J165"/>
    <mergeCell ref="C165:F165"/>
    <mergeCell ref="AE165:AH165"/>
    <mergeCell ref="AA165:AD165"/>
    <mergeCell ref="W165:Z165"/>
    <mergeCell ref="S165:V165"/>
    <mergeCell ref="O165:R165"/>
    <mergeCell ref="K165:N165"/>
    <mergeCell ref="G195:J195"/>
    <mergeCell ref="C195:F195"/>
    <mergeCell ref="C201:J201"/>
    <mergeCell ref="G200:J200"/>
    <mergeCell ref="C200:F200"/>
    <mergeCell ref="AE196:AH196"/>
    <mergeCell ref="AA196:AD196"/>
    <mergeCell ref="W196:Z196"/>
    <mergeCell ref="S196:V196"/>
    <mergeCell ref="O196:R196"/>
    <mergeCell ref="C191:J191"/>
    <mergeCell ref="G190:J190"/>
    <mergeCell ref="C190:F190"/>
    <mergeCell ref="C196:F196"/>
    <mergeCell ref="AE195:AH195"/>
    <mergeCell ref="AA195:AD195"/>
    <mergeCell ref="W195:Z195"/>
    <mergeCell ref="S195:V195"/>
    <mergeCell ref="O195:R195"/>
    <mergeCell ref="K195:N195"/>
    <mergeCell ref="AE186:AH186"/>
    <mergeCell ref="AA186:AD186"/>
    <mergeCell ref="W186:Z186"/>
    <mergeCell ref="S186:V186"/>
    <mergeCell ref="O186:R186"/>
    <mergeCell ref="K186:N186"/>
    <mergeCell ref="G186:J186"/>
    <mergeCell ref="C186:F186"/>
    <mergeCell ref="AE185:AH185"/>
    <mergeCell ref="AA185:AD185"/>
    <mergeCell ref="W185:Z185"/>
    <mergeCell ref="S185:V185"/>
    <mergeCell ref="O185:R185"/>
    <mergeCell ref="K185:N185"/>
    <mergeCell ref="G185:J185"/>
    <mergeCell ref="C185:F18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rgb="FF00B050"/>
  </sheetPr>
  <dimension ref="A1:AJ13"/>
  <sheetViews>
    <sheetView workbookViewId="0">
      <selection activeCell="C4" sqref="C4:J4"/>
    </sheetView>
  </sheetViews>
  <sheetFormatPr defaultColWidth="0" defaultRowHeight="15" zeroHeight="1"/>
  <cols>
    <col min="1" max="1" width="3.140625" customWidth="1"/>
    <col min="2" max="2" width="23.5703125" bestFit="1" customWidth="1"/>
    <col min="3" max="35" width="3" customWidth="1"/>
    <col min="36" max="36" width="3.42578125" hidden="1" customWidth="1"/>
    <col min="37" max="16384" width="9.140625" hidden="1"/>
  </cols>
  <sheetData>
    <row r="1" spans="1:36" ht="15.75" thickBot="1">
      <c r="A1" s="1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1"/>
      <c r="AJ1" s="13"/>
    </row>
    <row r="2" spans="1:36" ht="15.75" thickBot="1">
      <c r="A2" s="1"/>
      <c r="B2" s="7"/>
      <c r="C2" s="50" t="s">
        <v>2</v>
      </c>
      <c r="D2" s="51"/>
      <c r="E2" s="51"/>
      <c r="F2" s="51"/>
      <c r="G2" s="51"/>
      <c r="H2" s="51"/>
      <c r="I2" s="51"/>
      <c r="J2" s="52"/>
      <c r="K2" s="50" t="s">
        <v>3</v>
      </c>
      <c r="L2" s="51"/>
      <c r="M2" s="51"/>
      <c r="N2" s="51"/>
      <c r="O2" s="51"/>
      <c r="P2" s="51"/>
      <c r="Q2" s="51"/>
      <c r="R2" s="52"/>
      <c r="S2" s="50" t="s">
        <v>4</v>
      </c>
      <c r="T2" s="51"/>
      <c r="U2" s="51"/>
      <c r="V2" s="51"/>
      <c r="W2" s="51"/>
      <c r="X2" s="51"/>
      <c r="Y2" s="51"/>
      <c r="Z2" s="52"/>
      <c r="AA2" s="50" t="s">
        <v>5</v>
      </c>
      <c r="AB2" s="51"/>
      <c r="AC2" s="51"/>
      <c r="AD2" s="51"/>
      <c r="AE2" s="51"/>
      <c r="AF2" s="51"/>
      <c r="AG2" s="51"/>
      <c r="AH2" s="52"/>
      <c r="AI2" s="1"/>
      <c r="AJ2" s="13"/>
    </row>
    <row r="3" spans="1:36" ht="15.75" thickBot="1">
      <c r="A3" s="1"/>
      <c r="B3" s="11" t="s">
        <v>1</v>
      </c>
      <c r="C3" s="8" t="str">
        <f>IF($C$4="","",IF($C$4+2&gt;C11,0,1))</f>
        <v/>
      </c>
      <c r="D3" s="9" t="str">
        <f t="shared" ref="D3:AH3" si="0">IF($C$4="","",IF($C$4+2&gt;D11,0,1))</f>
        <v/>
      </c>
      <c r="E3" s="9" t="str">
        <f t="shared" si="0"/>
        <v/>
      </c>
      <c r="F3" s="9" t="str">
        <f t="shared" si="0"/>
        <v/>
      </c>
      <c r="G3" s="9" t="str">
        <f t="shared" si="0"/>
        <v/>
      </c>
      <c r="H3" s="9" t="str">
        <f t="shared" si="0"/>
        <v/>
      </c>
      <c r="I3" s="9" t="str">
        <f t="shared" si="0"/>
        <v/>
      </c>
      <c r="J3" s="10" t="str">
        <f t="shared" si="0"/>
        <v/>
      </c>
      <c r="K3" s="8" t="str">
        <f t="shared" si="0"/>
        <v/>
      </c>
      <c r="L3" s="9" t="str">
        <f t="shared" si="0"/>
        <v/>
      </c>
      <c r="M3" s="9" t="str">
        <f t="shared" si="0"/>
        <v/>
      </c>
      <c r="N3" s="9" t="str">
        <f t="shared" si="0"/>
        <v/>
      </c>
      <c r="O3" s="9" t="str">
        <f t="shared" si="0"/>
        <v/>
      </c>
      <c r="P3" s="9" t="str">
        <f t="shared" si="0"/>
        <v/>
      </c>
      <c r="Q3" s="9" t="str">
        <f t="shared" si="0"/>
        <v/>
      </c>
      <c r="R3" s="10" t="str">
        <f t="shared" si="0"/>
        <v/>
      </c>
      <c r="S3" s="8" t="str">
        <f t="shared" si="0"/>
        <v/>
      </c>
      <c r="T3" s="9" t="str">
        <f t="shared" si="0"/>
        <v/>
      </c>
      <c r="U3" s="9" t="str">
        <f t="shared" si="0"/>
        <v/>
      </c>
      <c r="V3" s="9" t="str">
        <f t="shared" si="0"/>
        <v/>
      </c>
      <c r="W3" s="9" t="str">
        <f t="shared" si="0"/>
        <v/>
      </c>
      <c r="X3" s="9" t="str">
        <f t="shared" si="0"/>
        <v/>
      </c>
      <c r="Y3" s="9" t="str">
        <f t="shared" si="0"/>
        <v/>
      </c>
      <c r="Z3" s="10" t="str">
        <f t="shared" si="0"/>
        <v/>
      </c>
      <c r="AA3" s="8" t="str">
        <f t="shared" si="0"/>
        <v/>
      </c>
      <c r="AB3" s="9" t="str">
        <f t="shared" si="0"/>
        <v/>
      </c>
      <c r="AC3" s="9" t="str">
        <f t="shared" si="0"/>
        <v/>
      </c>
      <c r="AD3" s="9" t="str">
        <f t="shared" si="0"/>
        <v/>
      </c>
      <c r="AE3" s="9" t="str">
        <f t="shared" si="0"/>
        <v/>
      </c>
      <c r="AF3" s="9" t="str">
        <f t="shared" si="0"/>
        <v/>
      </c>
      <c r="AG3" s="9" t="str">
        <f t="shared" si="0"/>
        <v/>
      </c>
      <c r="AH3" s="10" t="str">
        <f t="shared" si="0"/>
        <v/>
      </c>
      <c r="AI3" s="1"/>
      <c r="AJ3" s="13"/>
    </row>
    <row r="4" spans="1:36" ht="15.75" thickBot="1">
      <c r="A4" s="1"/>
      <c r="B4" s="12" t="s">
        <v>17</v>
      </c>
      <c r="C4" s="53"/>
      <c r="D4" s="53"/>
      <c r="E4" s="53"/>
      <c r="F4" s="53"/>
      <c r="G4" s="53"/>
      <c r="H4" s="53"/>
      <c r="I4" s="53"/>
      <c r="J4" s="54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"/>
      <c r="AJ4" s="13"/>
    </row>
    <row r="5" spans="1:36" ht="15.75" thickBot="1">
      <c r="A5" s="1"/>
      <c r="B5" s="12" t="s">
        <v>0</v>
      </c>
      <c r="C5" s="40" t="str">
        <f>IF(C4="","Enter Available Hosts",CONCATENATE(SUM(C12:J12),".",SUM(K12:R12),".",SUM(S12:Z12),".",SUM(AA12:AH12)))</f>
        <v>Enter Available Hosts</v>
      </c>
      <c r="D5" s="40"/>
      <c r="E5" s="40"/>
      <c r="F5" s="40"/>
      <c r="G5" s="40"/>
      <c r="H5" s="40"/>
      <c r="I5" s="40"/>
      <c r="J5" s="41"/>
      <c r="K5" s="43"/>
      <c r="L5" s="43"/>
      <c r="M5" s="43"/>
      <c r="N5" s="43"/>
      <c r="O5" s="43"/>
      <c r="P5" s="43"/>
      <c r="Q5" s="43"/>
      <c r="R5" s="43"/>
      <c r="S5" s="49" t="s">
        <v>13</v>
      </c>
      <c r="T5" s="49"/>
      <c r="U5" s="49"/>
      <c r="V5" s="49"/>
      <c r="W5" s="49"/>
      <c r="X5" s="49"/>
      <c r="Y5" s="49"/>
      <c r="Z5" s="49"/>
      <c r="AA5" s="47" t="s">
        <v>14</v>
      </c>
      <c r="AB5" s="48"/>
      <c r="AC5" s="48"/>
      <c r="AD5" s="48"/>
      <c r="AE5" s="48"/>
      <c r="AF5" s="48"/>
      <c r="AG5" s="48"/>
      <c r="AH5" s="48"/>
      <c r="AI5" s="1"/>
      <c r="AJ5" s="13"/>
    </row>
    <row r="6" spans="1:36" ht="15.75" thickBot="1">
      <c r="A6" s="1"/>
      <c r="B6" s="12" t="str">
        <f>CONCATENATE("Total IP's for /",COUNTIF(C3:AH3,1)," Subnet")</f>
        <v>Total IP's for /0 Subnet</v>
      </c>
      <c r="C6" s="40" t="str">
        <f>IF(C4="","Enter Available Hosts",IFERROR(HLOOKUP($C$4+2,C11:AH11,1,FALSE),HLOOKUP(TRUE,C10:AH11,2,FALSE)))</f>
        <v>Enter Available Hosts</v>
      </c>
      <c r="D6" s="40"/>
      <c r="E6" s="40"/>
      <c r="F6" s="40"/>
      <c r="G6" s="40"/>
      <c r="H6" s="40"/>
      <c r="I6" s="40"/>
      <c r="J6" s="41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1"/>
      <c r="AJ6" s="13"/>
    </row>
    <row r="7" spans="1:36" ht="63" customHeight="1" thickBot="1">
      <c r="A7" s="1"/>
      <c r="B7" s="44" t="str">
        <f>IF(C4="","Enter Available Hosts",CONCATENATE("There are ",C6," IPs for the /",COUNTIF(C3:AH3,1)," subnet. One is Network ID and the other is for Broadcast.
That leaves ",C6-2," usable IPs available.
If you use ",C4,IF(C4=1," IP"," IPs"),", you will have ",IF(C6-2-C4=0,"no",C6-2-C4)," unused ",IF(C6-2-C4=0,"or","&amp;")," available ",IF(C6-2-C4=1,"IP","IPs")," for this subnet."))</f>
        <v>Enter Available Hosts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6"/>
      <c r="AI7" s="1"/>
      <c r="AJ7" s="13"/>
    </row>
    <row r="8" spans="1:36" ht="15.75" customHeight="1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1"/>
      <c r="AJ8" s="13"/>
    </row>
    <row r="9" spans="1:36" ht="15.75" hidden="1" customHeight="1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1"/>
      <c r="AJ9" s="13"/>
    </row>
    <row r="10" spans="1:36" ht="15" hidden="1" customHeight="1">
      <c r="A10" s="1"/>
      <c r="B10" s="3"/>
      <c r="C10" s="4" t="b">
        <f>AND($C$4+2&lt;C11,$C$4+2&gt;D11)</f>
        <v>0</v>
      </c>
      <c r="D10" s="5" t="b">
        <f t="shared" ref="D10:AH10" si="1">AND($C$4+2&lt;D11,$C$4+2&gt;E11)</f>
        <v>0</v>
      </c>
      <c r="E10" s="5" t="b">
        <f t="shared" si="1"/>
        <v>0</v>
      </c>
      <c r="F10" s="5" t="b">
        <f t="shared" si="1"/>
        <v>0</v>
      </c>
      <c r="G10" s="5" t="b">
        <f t="shared" si="1"/>
        <v>0</v>
      </c>
      <c r="H10" s="5" t="b">
        <f t="shared" si="1"/>
        <v>0</v>
      </c>
      <c r="I10" s="5" t="b">
        <f t="shared" si="1"/>
        <v>0</v>
      </c>
      <c r="J10" s="6" t="b">
        <f t="shared" si="1"/>
        <v>0</v>
      </c>
      <c r="K10" s="4" t="b">
        <f t="shared" si="1"/>
        <v>0</v>
      </c>
      <c r="L10" s="5" t="b">
        <f t="shared" si="1"/>
        <v>0</v>
      </c>
      <c r="M10" s="5" t="b">
        <f t="shared" si="1"/>
        <v>0</v>
      </c>
      <c r="N10" s="5" t="b">
        <f t="shared" si="1"/>
        <v>0</v>
      </c>
      <c r="O10" s="5" t="b">
        <f t="shared" si="1"/>
        <v>0</v>
      </c>
      <c r="P10" s="5" t="b">
        <f t="shared" si="1"/>
        <v>0</v>
      </c>
      <c r="Q10" s="5" t="b">
        <f t="shared" si="1"/>
        <v>0</v>
      </c>
      <c r="R10" s="6" t="b">
        <f t="shared" si="1"/>
        <v>0</v>
      </c>
      <c r="S10" s="4" t="b">
        <f t="shared" si="1"/>
        <v>0</v>
      </c>
      <c r="T10" s="5" t="b">
        <f t="shared" si="1"/>
        <v>0</v>
      </c>
      <c r="U10" s="5" t="b">
        <f t="shared" si="1"/>
        <v>0</v>
      </c>
      <c r="V10" s="5" t="b">
        <f t="shared" si="1"/>
        <v>0</v>
      </c>
      <c r="W10" s="5" t="b">
        <f t="shared" si="1"/>
        <v>0</v>
      </c>
      <c r="X10" s="5" t="b">
        <f t="shared" si="1"/>
        <v>0</v>
      </c>
      <c r="Y10" s="5" t="b">
        <f t="shared" si="1"/>
        <v>0</v>
      </c>
      <c r="Z10" s="6" t="b">
        <f t="shared" si="1"/>
        <v>0</v>
      </c>
      <c r="AA10" s="4" t="b">
        <f t="shared" si="1"/>
        <v>0</v>
      </c>
      <c r="AB10" s="5" t="b">
        <f t="shared" si="1"/>
        <v>0</v>
      </c>
      <c r="AC10" s="5" t="b">
        <f t="shared" si="1"/>
        <v>0</v>
      </c>
      <c r="AD10" s="5" t="b">
        <f t="shared" si="1"/>
        <v>0</v>
      </c>
      <c r="AE10" s="5" t="b">
        <f t="shared" si="1"/>
        <v>0</v>
      </c>
      <c r="AF10" s="5" t="b">
        <f t="shared" si="1"/>
        <v>0</v>
      </c>
      <c r="AG10" s="5" t="b">
        <f t="shared" si="1"/>
        <v>0</v>
      </c>
      <c r="AH10" s="6" t="b">
        <f t="shared" si="1"/>
        <v>0</v>
      </c>
      <c r="AI10" s="1"/>
      <c r="AJ10" s="13"/>
    </row>
    <row r="11" spans="1:36" ht="15" hidden="1" customHeight="1">
      <c r="A11" s="1"/>
      <c r="B11" s="3"/>
      <c r="C11" s="4">
        <f>D11*2</f>
        <v>2147483648</v>
      </c>
      <c r="D11" s="5">
        <f t="shared" ref="D11:AG11" si="2">E11*2</f>
        <v>1073741824</v>
      </c>
      <c r="E11" s="5">
        <f t="shared" si="2"/>
        <v>536870912</v>
      </c>
      <c r="F11" s="5">
        <f t="shared" si="2"/>
        <v>268435456</v>
      </c>
      <c r="G11" s="5">
        <f t="shared" si="2"/>
        <v>134217728</v>
      </c>
      <c r="H11" s="5">
        <f t="shared" si="2"/>
        <v>67108864</v>
      </c>
      <c r="I11" s="5">
        <f t="shared" si="2"/>
        <v>33554432</v>
      </c>
      <c r="J11" s="6">
        <f t="shared" si="2"/>
        <v>16777216</v>
      </c>
      <c r="K11" s="4">
        <f t="shared" si="2"/>
        <v>8388608</v>
      </c>
      <c r="L11" s="5">
        <f t="shared" si="2"/>
        <v>4194304</v>
      </c>
      <c r="M11" s="5">
        <f t="shared" si="2"/>
        <v>2097152</v>
      </c>
      <c r="N11" s="5">
        <f t="shared" si="2"/>
        <v>1048576</v>
      </c>
      <c r="O11" s="5">
        <f t="shared" si="2"/>
        <v>524288</v>
      </c>
      <c r="P11" s="5">
        <f t="shared" si="2"/>
        <v>262144</v>
      </c>
      <c r="Q11" s="5">
        <f t="shared" si="2"/>
        <v>131072</v>
      </c>
      <c r="R11" s="6">
        <f t="shared" si="2"/>
        <v>65536</v>
      </c>
      <c r="S11" s="4">
        <f t="shared" si="2"/>
        <v>32768</v>
      </c>
      <c r="T11" s="5">
        <f t="shared" si="2"/>
        <v>16384</v>
      </c>
      <c r="U11" s="5">
        <f t="shared" si="2"/>
        <v>8192</v>
      </c>
      <c r="V11" s="5">
        <f t="shared" si="2"/>
        <v>4096</v>
      </c>
      <c r="W11" s="5">
        <f t="shared" si="2"/>
        <v>2048</v>
      </c>
      <c r="X11" s="5">
        <f t="shared" si="2"/>
        <v>1024</v>
      </c>
      <c r="Y11" s="5">
        <f t="shared" si="2"/>
        <v>512</v>
      </c>
      <c r="Z11" s="6">
        <f t="shared" si="2"/>
        <v>256</v>
      </c>
      <c r="AA11" s="4">
        <f t="shared" si="2"/>
        <v>128</v>
      </c>
      <c r="AB11" s="5">
        <f t="shared" si="2"/>
        <v>64</v>
      </c>
      <c r="AC11" s="5">
        <f t="shared" si="2"/>
        <v>32</v>
      </c>
      <c r="AD11" s="5">
        <f t="shared" si="2"/>
        <v>16</v>
      </c>
      <c r="AE11" s="5">
        <f t="shared" si="2"/>
        <v>8</v>
      </c>
      <c r="AF11" s="5">
        <f t="shared" si="2"/>
        <v>4</v>
      </c>
      <c r="AG11" s="5">
        <f t="shared" si="2"/>
        <v>2</v>
      </c>
      <c r="AH11" s="6">
        <v>1</v>
      </c>
      <c r="AI11" s="1"/>
      <c r="AJ11" s="13"/>
    </row>
    <row r="12" spans="1:36" ht="15" hidden="1" customHeight="1">
      <c r="A12" s="1"/>
      <c r="B12" s="3"/>
      <c r="C12" s="4">
        <f t="shared" ref="C12:J12" si="3">IF(C3=0,0,AA11)</f>
        <v>128</v>
      </c>
      <c r="D12" s="5">
        <f t="shared" si="3"/>
        <v>64</v>
      </c>
      <c r="E12" s="5">
        <f t="shared" si="3"/>
        <v>32</v>
      </c>
      <c r="F12" s="5">
        <f t="shared" si="3"/>
        <v>16</v>
      </c>
      <c r="G12" s="5">
        <f t="shared" si="3"/>
        <v>8</v>
      </c>
      <c r="H12" s="5">
        <f t="shared" si="3"/>
        <v>4</v>
      </c>
      <c r="I12" s="5">
        <f t="shared" si="3"/>
        <v>2</v>
      </c>
      <c r="J12" s="6">
        <f t="shared" si="3"/>
        <v>1</v>
      </c>
      <c r="K12" s="4">
        <f t="shared" ref="K12:R12" si="4">IF(K3=0,0,AA11)</f>
        <v>128</v>
      </c>
      <c r="L12" s="5">
        <f t="shared" si="4"/>
        <v>64</v>
      </c>
      <c r="M12" s="5">
        <f t="shared" si="4"/>
        <v>32</v>
      </c>
      <c r="N12" s="5">
        <f t="shared" si="4"/>
        <v>16</v>
      </c>
      <c r="O12" s="5">
        <f t="shared" si="4"/>
        <v>8</v>
      </c>
      <c r="P12" s="5">
        <f t="shared" si="4"/>
        <v>4</v>
      </c>
      <c r="Q12" s="5">
        <f t="shared" si="4"/>
        <v>2</v>
      </c>
      <c r="R12" s="6">
        <f t="shared" si="4"/>
        <v>1</v>
      </c>
      <c r="S12" s="4">
        <f t="shared" ref="S12:Z12" si="5">IF(S3=0,0,AA11)</f>
        <v>128</v>
      </c>
      <c r="T12" s="5">
        <f t="shared" si="5"/>
        <v>64</v>
      </c>
      <c r="U12" s="5">
        <f t="shared" si="5"/>
        <v>32</v>
      </c>
      <c r="V12" s="5">
        <f t="shared" si="5"/>
        <v>16</v>
      </c>
      <c r="W12" s="5">
        <f t="shared" si="5"/>
        <v>8</v>
      </c>
      <c r="X12" s="5">
        <f t="shared" si="5"/>
        <v>4</v>
      </c>
      <c r="Y12" s="5">
        <f t="shared" si="5"/>
        <v>2</v>
      </c>
      <c r="Z12" s="6">
        <f t="shared" si="5"/>
        <v>1</v>
      </c>
      <c r="AA12" s="4">
        <f t="shared" ref="AA12:AH12" si="6">IF(AA3=0,0,AA11)</f>
        <v>128</v>
      </c>
      <c r="AB12" s="5">
        <f t="shared" si="6"/>
        <v>64</v>
      </c>
      <c r="AC12" s="5">
        <f t="shared" si="6"/>
        <v>32</v>
      </c>
      <c r="AD12" s="5">
        <f t="shared" si="6"/>
        <v>16</v>
      </c>
      <c r="AE12" s="5">
        <f t="shared" si="6"/>
        <v>8</v>
      </c>
      <c r="AF12" s="5">
        <f t="shared" si="6"/>
        <v>4</v>
      </c>
      <c r="AG12" s="5">
        <f t="shared" si="6"/>
        <v>2</v>
      </c>
      <c r="AH12" s="6">
        <f t="shared" si="6"/>
        <v>1</v>
      </c>
      <c r="AI12" s="1"/>
      <c r="AJ12" s="13"/>
    </row>
    <row r="13" spans="1:36" hidden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3"/>
    </row>
  </sheetData>
  <sheetProtection sheet="1" objects="1" scenarios="1" selectLockedCells="1"/>
  <mergeCells count="17">
    <mergeCell ref="C2:J2"/>
    <mergeCell ref="K2:R2"/>
    <mergeCell ref="S2:Z2"/>
    <mergeCell ref="AA2:AH2"/>
    <mergeCell ref="AA4:AH4"/>
    <mergeCell ref="C4:J4"/>
    <mergeCell ref="C5:J5"/>
    <mergeCell ref="C6:J6"/>
    <mergeCell ref="K4:R4"/>
    <mergeCell ref="K5:R5"/>
    <mergeCell ref="B7:AH7"/>
    <mergeCell ref="AA5:AH5"/>
    <mergeCell ref="AA6:AH6"/>
    <mergeCell ref="K6:R6"/>
    <mergeCell ref="S4:Z4"/>
    <mergeCell ref="S5:Z5"/>
    <mergeCell ref="S6:Z6"/>
  </mergeCells>
  <conditionalFormatting sqref="C3:J3">
    <cfRule type="colorScale" priority="4">
      <colorScale>
        <cfvo type="num" val="0"/>
        <cfvo type="num" val="1"/>
        <color rgb="FF92D050"/>
        <color rgb="FFFFFF00"/>
      </colorScale>
    </cfRule>
  </conditionalFormatting>
  <conditionalFormatting sqref="K3:R3">
    <cfRule type="colorScale" priority="3">
      <colorScale>
        <cfvo type="num" val="0"/>
        <cfvo type="num" val="1"/>
        <color rgb="FF92D050"/>
        <color rgb="FFFFFF00"/>
      </colorScale>
    </cfRule>
  </conditionalFormatting>
  <conditionalFormatting sqref="S3:Z3">
    <cfRule type="colorScale" priority="2">
      <colorScale>
        <cfvo type="num" val="0"/>
        <cfvo type="num" val="1"/>
        <color rgb="FF92D050"/>
        <color rgb="FFFFFF00"/>
      </colorScale>
    </cfRule>
  </conditionalFormatting>
  <conditionalFormatting sqref="AA3:AH3">
    <cfRule type="colorScale" priority="1">
      <colorScale>
        <cfvo type="num" val="0"/>
        <cfvo type="num" val="1"/>
        <color rgb="FF92D050"/>
        <color rgb="FFFFFF00"/>
      </colorScale>
    </cfRule>
  </conditionalFormatting>
  <dataValidations count="1">
    <dataValidation type="whole" allowBlank="1" showErrorMessage="1" errorTitle="Quit Playing!" error="There can only be between 1 and 2147483646 hosts. The number you entered is a joke! Click Cancel and enter a REAL number." promptTitle="Enter number of hosts" sqref="C4:J4">
      <formula1>1</formula1>
      <formula2>C11-2</formula2>
    </dataValidation>
  </dataValidations>
  <pageMargins left="0.7" right="0.7" top="0.75" bottom="0.75" header="0.3" footer="0.3"/>
  <pageSetup orientation="portrait" r:id="rId1"/>
</worksheet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3.xml><?xml version="1.0" encoding="utf-8"?>
<ds:datastoreItem xmlns:ds="http://schemas.openxmlformats.org/officeDocument/2006/customXml" ds:itemID="{EF3A373A-F4B6-4BB1-967D-6C5D23AF078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VariableLengthSubnetMaskCalc.</vt:lpstr>
      <vt:lpstr>Calculations</vt:lpstr>
      <vt:lpstr>Simple Subnet Calculator</vt:lpstr>
      <vt:lpstr>Max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/>
  <dc:creator/>
  <lastModifiedBy/>
  <dc:description/>
  <dcterms:modified xsi:type="dcterms:W3CDTF">2009-11-29T22:21:12.0000000Z</dcterms:modified>
  <keywords/>
  <version/>
  <dc:subject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TC300080059990</vt:lpwstr>
  </property>
</Properties>
</file>